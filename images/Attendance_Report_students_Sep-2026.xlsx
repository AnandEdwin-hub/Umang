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1095" windowWidth="15495" windowHeight="6795" activeTab="1"/>
  </bookViews>
  <sheets>
    <sheet name="Sheet1" sheetId="2" r:id="rId1"/>
    <sheet name="SEP 23" sheetId="1" r:id="rId2"/>
    <sheet name="Sep27" sheetId="4" r:id="rId3"/>
  </sheets>
  <definedNames>
    <definedName name="_xlnm._FilterDatabase" localSheetId="1" hidden="1">'SEP 23'!$A$2:$AH$31</definedName>
    <definedName name="_xlnm._FilterDatabase" localSheetId="2" hidden="1">'Sep27'!$A$1:$AI$30</definedName>
  </definedNames>
  <calcPr calcId="124519"/>
  <pivotCaches>
    <pivotCache cacheId="4" r:id="rId4"/>
  </pivotCaches>
</workbook>
</file>

<file path=xl/calcChain.xml><?xml version="1.0" encoding="utf-8"?>
<calcChain xmlns="http://schemas.openxmlformats.org/spreadsheetml/2006/main">
  <c r="AI30" i="4"/>
  <c r="AI31" i="1"/>
  <c r="B22" i="2" l="1"/>
  <c r="C21"/>
  <c r="C20"/>
  <c r="C19"/>
  <c r="C18"/>
  <c r="D17"/>
  <c r="D18" s="1"/>
  <c r="D19" s="1"/>
  <c r="D20" s="1"/>
  <c r="D21" s="1"/>
  <c r="C17"/>
  <c r="D16"/>
  <c r="C16"/>
  <c r="C22" s="1"/>
</calcChain>
</file>

<file path=xl/sharedStrings.xml><?xml version="1.0" encoding="utf-8"?>
<sst xmlns="http://schemas.openxmlformats.org/spreadsheetml/2006/main" count="2065" uniqueCount="155">
  <si>
    <t>Code</t>
  </si>
  <si>
    <t>Name</t>
  </si>
  <si>
    <t>Detail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</si>
  <si>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</si>
  <si>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</si>
  <si>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</si>
  <si>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</si>
  <si>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</si>
  <si>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</si>
  <si>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</si>
  <si>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</si>
  <si>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</si>
  <si>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</si>
  <si>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</si>
  <si>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</si>
  <si>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</si>
  <si>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</si>
  <si>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</si>
  <si>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</si>
  <si>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</si>
  <si>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</si>
  <si>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</si>
  <si>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</si>
  <si>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</si>
  <si>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</si>
  <si>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</si>
  <si>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</si>
  <si>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</si>
  <si>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</si>
  <si>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</si>
  <si>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</si>
  <si>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</si>
  <si>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</si>
  <si>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%</t>
  </si>
  <si>
    <t>SIT26001</t>
  </si>
  <si>
    <t>Diya</t>
  </si>
  <si>
    <t>SIT26001 • 0</t>
  </si>
  <si>
    <t>P</t>
  </si>
  <si>
    <t>H</t>
  </si>
  <si>
    <t>SUN</t>
  </si>
  <si>
    <t/>
  </si>
  <si>
    <t>LL</t>
  </si>
  <si>
    <t>100%</t>
  </si>
  <si>
    <t>SIT26002</t>
  </si>
  <si>
    <t>Vidhi</t>
  </si>
  <si>
    <t>SIT26002 • NUR</t>
  </si>
  <si>
    <t>A</t>
  </si>
  <si>
    <t>89%</t>
  </si>
  <si>
    <t>SIT26003</t>
  </si>
  <si>
    <t>Vihani</t>
  </si>
  <si>
    <t>SIT26003 • LKG</t>
  </si>
  <si>
    <t>37%</t>
  </si>
  <si>
    <t>SIT26004</t>
  </si>
  <si>
    <t>Daksh</t>
  </si>
  <si>
    <t>SIT26004 • HKG</t>
  </si>
  <si>
    <t>SIT26005</t>
  </si>
  <si>
    <t>Naveen Rana</t>
  </si>
  <si>
    <t>SIT26005 • 1</t>
  </si>
  <si>
    <t>SIT26006</t>
  </si>
  <si>
    <t>Riyanshi</t>
  </si>
  <si>
    <t>SIT26006 • NUR</t>
  </si>
  <si>
    <t>SIT26007</t>
  </si>
  <si>
    <t>Mehul</t>
  </si>
  <si>
    <t>SIT26007 • 0</t>
  </si>
  <si>
    <t>S</t>
  </si>
  <si>
    <t>79%</t>
  </si>
  <si>
    <t>SIT26008</t>
  </si>
  <si>
    <t>Sakshi</t>
  </si>
  <si>
    <t>SIT26008 • 1</t>
  </si>
  <si>
    <t>SIT26009</t>
  </si>
  <si>
    <t>Punam Rana</t>
  </si>
  <si>
    <t>SIT26009 • 0</t>
  </si>
  <si>
    <t>SIT26010</t>
  </si>
  <si>
    <t>Saniya</t>
  </si>
  <si>
    <t>SIT26010 • 2</t>
  </si>
  <si>
    <t>SIT26011</t>
  </si>
  <si>
    <t>Kirti</t>
  </si>
  <si>
    <t>SIT26011 • 0</t>
  </si>
  <si>
    <t>SIT26012</t>
  </si>
  <si>
    <t>Kanishka Rana</t>
  </si>
  <si>
    <t>SIT26012 • 0</t>
  </si>
  <si>
    <t>SIT26013</t>
  </si>
  <si>
    <t>Himanshi</t>
  </si>
  <si>
    <t>SIT26013 • 0</t>
  </si>
  <si>
    <t>SIT26014</t>
  </si>
  <si>
    <t>Janvi</t>
  </si>
  <si>
    <t>SIT26014 • 0</t>
  </si>
  <si>
    <t>95%</t>
  </si>
  <si>
    <t>SIT26015</t>
  </si>
  <si>
    <t>Vanshika</t>
  </si>
  <si>
    <t>SIT26015 • 2</t>
  </si>
  <si>
    <t>SIT26016</t>
  </si>
  <si>
    <t>Harsh Rana</t>
  </si>
  <si>
    <t>SIT26016 • 1</t>
  </si>
  <si>
    <t>SIT26017</t>
  </si>
  <si>
    <t>Ritika Kumari</t>
  </si>
  <si>
    <t>SIT26017 • 2</t>
  </si>
  <si>
    <t>L</t>
  </si>
  <si>
    <t>SIT26018</t>
  </si>
  <si>
    <t>Mosam</t>
  </si>
  <si>
    <t>SIT26018 • LKG</t>
  </si>
  <si>
    <t>SIT26019</t>
  </si>
  <si>
    <t>Bhavesh Rana</t>
  </si>
  <si>
    <t>SIT26019 • 0</t>
  </si>
  <si>
    <t>SIT26020</t>
  </si>
  <si>
    <t>Payal Rana</t>
  </si>
  <si>
    <t>SIT26020 • 0</t>
  </si>
  <si>
    <t>SIT26021</t>
  </si>
  <si>
    <t>Damini</t>
  </si>
  <si>
    <t>SIT26021 • 0</t>
  </si>
  <si>
    <t>SIT26022</t>
  </si>
  <si>
    <t>Vansh Rana</t>
  </si>
  <si>
    <t>SIT26022 • HKG</t>
  </si>
  <si>
    <t>SIT26023</t>
  </si>
  <si>
    <t>SIT26023 • 0</t>
  </si>
  <si>
    <t>SIT26024</t>
  </si>
  <si>
    <t>Sheetal</t>
  </si>
  <si>
    <t>SIT26024 • 2</t>
  </si>
  <si>
    <t>SIT26025</t>
  </si>
  <si>
    <t>Kunal Rana</t>
  </si>
  <si>
    <t>SIT26025 • 0</t>
  </si>
  <si>
    <t>SIT26026</t>
  </si>
  <si>
    <t>Riyansh Rana</t>
  </si>
  <si>
    <t>SIT26026 • 0</t>
  </si>
  <si>
    <t>SIT26027</t>
  </si>
  <si>
    <t>Hitanshu</t>
  </si>
  <si>
    <t>SIT26027 • 0</t>
  </si>
  <si>
    <t>SIT26028</t>
  </si>
  <si>
    <t>Punit</t>
  </si>
  <si>
    <t>SIT26028 • 0</t>
  </si>
  <si>
    <t>11%</t>
  </si>
  <si>
    <t>93%</t>
  </si>
  <si>
    <t>86%</t>
  </si>
  <si>
    <t>96%</t>
  </si>
  <si>
    <t>82%</t>
  </si>
  <si>
    <t>Row Labels</t>
  </si>
  <si>
    <t>Grand Total</t>
  </si>
  <si>
    <t>Count of %</t>
  </si>
  <si>
    <t xml:space="preserve">SEPT 2026                                                    SEPT 2026                                                SEPT 2026                                         SEPT 2026                        </t>
  </si>
  <si>
    <t xml:space="preserve">ATTENDANCE  </t>
  </si>
  <si>
    <t>MAY'26</t>
  </si>
  <si>
    <t>REMARKS</t>
  </si>
  <si>
    <t>Present</t>
  </si>
  <si>
    <t>Kids</t>
  </si>
  <si>
    <t>Cum %</t>
  </si>
  <si>
    <t>&gt; 90%</t>
  </si>
  <si>
    <t>80% - 89%</t>
  </si>
  <si>
    <t>70% - 79%</t>
  </si>
  <si>
    <t>60% - 69%</t>
  </si>
  <si>
    <t>50% - 59%</t>
  </si>
  <si>
    <t>Less 50%</t>
  </si>
  <si>
    <t>90%</t>
  </si>
  <si>
    <t>40%</t>
  </si>
  <si>
    <t>80%</t>
  </si>
  <si>
    <t>"%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</si>
</sst>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 applyNumberFormat="1"/>
    <xf numFmtId="17" fontId="3" fillId="0" borderId="0" xfId="0" quotePrefix="1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0" fillId="0" borderId="0" xfId="0" pivotButton="1" applyNumberFormat="1"/>
    <xf numFmtId="0" fontId="0" fillId="0" borderId="0" xfId="0" applyNumberFormat="1" applyAlignment="1">
      <alignment horizontal="left"/>
    </xf>
    <xf numFmtId="0" fontId="3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quotePrefix="1" applyBorder="1"/>
    <xf numFmtId="0" fontId="0" fillId="0" borderId="10" xfId="0" applyBorder="1" applyAlignment="1">
      <alignment horizontal="center"/>
    </xf>
    <xf numFmtId="9" fontId="0" fillId="0" borderId="10" xfId="1" applyFon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9" fontId="0" fillId="0" borderId="9" xfId="0" quotePrefix="1" applyNumberFormat="1" applyBorder="1"/>
    <xf numFmtId="0" fontId="0" fillId="0" borderId="12" xfId="0" applyBorder="1"/>
    <xf numFmtId="0" fontId="2" fillId="0" borderId="13" xfId="0" applyFont="1" applyBorder="1" applyAlignment="1">
      <alignment horizontal="center"/>
    </xf>
    <xf numFmtId="9" fontId="2" fillId="0" borderId="13" xfId="1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9" fontId="3" fillId="0" borderId="0" xfId="1" quotePrefix="1" applyFon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3" fillId="0" borderId="0" xfId="0" applyNumberFormat="1" applyFont="1" applyAlignment="1">
      <alignment horizontal="center"/>
    </xf>
    <xf numFmtId="10" fontId="3" fillId="0" borderId="0" xfId="0" applyNumberFormat="1" applyFont="1"/>
    <xf numFmtId="10" fontId="0" fillId="0" borderId="0" xfId="0" applyNumberFormat="1"/>
    <xf numFmtId="10" fontId="3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14</xdr:col>
      <xdr:colOff>0</xdr:colOff>
      <xdr:row>11</xdr:row>
      <xdr:rowOff>23931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8950" y="200025"/>
          <a:ext cx="6858000" cy="20241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91.575422800925" createdVersion="3" refreshedVersion="3" minRefreshableVersion="3" recordCount="29">
  <cacheSource type="worksheet">
    <worksheetSource ref="A2:AH31" sheet="SEP 23"/>
  </cacheSource>
  <cacheFields count="34">
    <cacheField name="Code" numFmtId="0">
      <sharedItems/>
    </cacheField>
    <cacheField name="Name" numFmtId="0">
      <sharedItems/>
    </cacheField>
    <cacheField name="Detail" numFmtId="0">
      <sharedItems/>
    </cacheField>
    <cacheField name="1" numFmtId="0">
      <sharedItems/>
    </cacheField>
    <cacheField name="2" numFmtId="0">
      <sharedItems/>
    </cacheField>
    <cacheField name="3" numFmtId="0">
      <sharedItems/>
    </cacheField>
    <cacheField name="4" numFmtId="0">
      <sharedItems/>
    </cacheField>
    <cacheField name="5" numFmtId="0">
      <sharedItems/>
    </cacheField>
    <cacheField name="6" numFmtId="0">
      <sharedItems/>
    </cacheField>
    <cacheField name="7" numFmtId="0">
      <sharedItems/>
    </cacheField>
    <cacheField name="8" numFmtId="0">
      <sharedItems/>
    </cacheField>
    <cacheField name="9" numFmtId="0">
      <sharedItems/>
    </cacheField>
    <cacheField name="10" numFmtId="0">
      <sharedItems/>
    </cacheField>
    <cacheField name="11" numFmtId="0">
      <sharedItems/>
    </cacheField>
    <cacheField name="12" numFmtId="0">
      <sharedItems/>
    </cacheField>
    <cacheField name="13" numFmtId="0">
      <sharedItems/>
    </cacheField>
    <cacheField name="14" numFmtId="0">
      <sharedItems/>
    </cacheField>
    <cacheField name="15" numFmtId="0">
      <sharedItems/>
    </cacheField>
    <cacheField name="16" numFmtId="0">
      <sharedItems/>
    </cacheField>
    <cacheField name="17" numFmtId="0">
      <sharedItems/>
    </cacheField>
    <cacheField name="18" numFmtId="0">
      <sharedItems/>
    </cacheField>
    <cacheField name="19" numFmtId="0">
      <sharedItems/>
    </cacheField>
    <cacheField name="20" numFmtId="0">
      <sharedItems/>
    </cacheField>
    <cacheField name="21" numFmtId="0">
      <sharedItems/>
    </cacheField>
    <cacheField name="22" numFmtId="0">
      <sharedItems/>
    </cacheField>
    <cacheField name="23" numFmtId="0">
      <sharedItems/>
    </cacheField>
    <cacheField name="24" numFmtId="0">
      <sharedItems/>
    </cacheField>
    <cacheField name="25" numFmtId="0">
      <sharedItems/>
    </cacheField>
    <cacheField name="26" numFmtId="0">
      <sharedItems/>
    </cacheField>
    <cacheField name="27" numFmtId="0">
      <sharedItems/>
    </cacheField>
    <cacheField name="28" numFmtId="0">
      <sharedItems/>
    </cacheField>
    <cacheField name="29" numFmtId="0">
      <sharedItems/>
    </cacheField>
    <cacheField name="30" numFmtId="0">
      <sharedItems/>
    </cacheField>
    <cacheField name="%" numFmtId="0">
      <sharedItems count="7">
        <s v="100%"/>
        <s v="89%"/>
        <s v="37%"/>
        <s v="79%"/>
        <s v="95%"/>
        <s v="11%"/>
        <s v="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s v="SIT26001"/>
    <s v="Diya"/>
    <s v="SIT26001 • 0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02"/>
    <s v="Vidhi"/>
    <s v="SIT26002 • NUR"/>
    <s v="P"/>
    <s v="P"/>
    <s v="P"/>
    <s v="H"/>
    <s v="P"/>
    <s v="SUN"/>
    <s v="P"/>
    <s v="P"/>
    <s v="P"/>
    <s v="A"/>
    <s v="P"/>
    <s v="A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1"/>
  </r>
  <r>
    <s v="SIT26003"/>
    <s v="Vihani"/>
    <s v="SIT26003 • LKG"/>
    <s v="P"/>
    <s v="P"/>
    <s v="A"/>
    <s v="H"/>
    <s v="A"/>
    <s v="SUN"/>
    <s v="A"/>
    <s v="A"/>
    <s v="A"/>
    <s v="P"/>
    <s v="A"/>
    <s v="P"/>
    <s v="SUN"/>
    <s v="A"/>
    <s v="P"/>
    <s v="A"/>
    <s v="A"/>
    <s v="H"/>
    <s v="A"/>
    <s v="SUN"/>
    <s v="P"/>
    <s v="A"/>
    <s v="A"/>
    <s v=""/>
    <s v="LL"/>
    <s v=""/>
    <s v="SUN"/>
    <s v=""/>
    <s v=""/>
    <s v=""/>
    <x v="2"/>
  </r>
  <r>
    <s v="SIT26004"/>
    <s v="Daksh"/>
    <s v="SIT26004 • HKG"/>
    <s v="P"/>
    <s v="P"/>
    <s v="P"/>
    <s v="H"/>
    <s v="P"/>
    <s v="SUN"/>
    <s v="P"/>
    <s v="P"/>
    <s v="P"/>
    <s v="P"/>
    <s v="A"/>
    <s v="P"/>
    <s v="SUN"/>
    <s v="P"/>
    <s v="P"/>
    <s v="P"/>
    <s v="P"/>
    <s v="H"/>
    <s v="P"/>
    <s v="SUN"/>
    <s v="P"/>
    <s v="P"/>
    <s v="A"/>
    <s v=""/>
    <s v="LL"/>
    <s v=""/>
    <s v="SUN"/>
    <s v=""/>
    <s v=""/>
    <s v=""/>
    <x v="1"/>
  </r>
  <r>
    <s v="SIT26005"/>
    <s v="Naveen Rana"/>
    <s v="SIT26005 • 1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06"/>
    <s v="Riyanshi"/>
    <s v="SIT26006 • NUR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07"/>
    <s v="Mehul"/>
    <s v="SIT26007 • 0"/>
    <s v="P"/>
    <s v="A"/>
    <s v="P"/>
    <s v="H"/>
    <s v="P"/>
    <s v="SUN"/>
    <s v="P"/>
    <s v="P"/>
    <s v="S"/>
    <s v="S"/>
    <s v="P"/>
    <s v="P"/>
    <s v="SUN"/>
    <s v="P"/>
    <s v="P"/>
    <s v="P"/>
    <s v="P"/>
    <s v="H"/>
    <s v="P"/>
    <s v="SUN"/>
    <s v="P"/>
    <s v="P"/>
    <s v="A"/>
    <s v=""/>
    <s v="LL"/>
    <s v=""/>
    <s v="SUN"/>
    <s v=""/>
    <s v=""/>
    <s v=""/>
    <x v="3"/>
  </r>
  <r>
    <s v="SIT26008"/>
    <s v="Sakshi"/>
    <s v="SIT26008 • 1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09"/>
    <s v="Punam Rana"/>
    <s v="SIT26009 • 0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10"/>
    <s v="Saniya"/>
    <s v="SIT26010 • 2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11"/>
    <s v="Kirti"/>
    <s v="SIT26011 • 0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12"/>
    <s v="Kanishka Rana"/>
    <s v="SIT26012 • 0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13"/>
    <s v="Himanshi"/>
    <s v="SIT26013 • 0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14"/>
    <s v="Janvi"/>
    <s v="SIT26014 • 0"/>
    <s v="P"/>
    <s v="S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4"/>
  </r>
  <r>
    <s v="SIT26015"/>
    <s v="Vanshika"/>
    <s v="SIT26015 • 2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16"/>
    <s v="Harsh Rana"/>
    <s v="SIT26016 • 1"/>
    <s v="P"/>
    <s v="P"/>
    <s v="P"/>
    <s v="H"/>
    <s v="P"/>
    <s v="SUN"/>
    <s v="P"/>
    <s v="P"/>
    <s v="P"/>
    <s v="P"/>
    <s v="A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4"/>
  </r>
  <r>
    <s v="SIT26017"/>
    <s v="Ritika Kumari"/>
    <s v="SIT26017 • 2"/>
    <s v="P"/>
    <s v="P"/>
    <s v="P"/>
    <s v="H"/>
    <s v="P"/>
    <s v="SUN"/>
    <s v="P"/>
    <s v="P"/>
    <s v="P"/>
    <s v="P"/>
    <s v="L"/>
    <s v="P"/>
    <s v="SUN"/>
    <s v="P"/>
    <s v="P"/>
    <s v="P"/>
    <s v="P"/>
    <s v="H"/>
    <s v="P"/>
    <s v="SUN"/>
    <s v="P"/>
    <s v="P"/>
    <s v="A"/>
    <s v=""/>
    <s v="LL"/>
    <s v=""/>
    <s v="SUN"/>
    <s v=""/>
    <s v=""/>
    <s v=""/>
    <x v="4"/>
  </r>
  <r>
    <s v="SIT26018"/>
    <s v="Mosam"/>
    <s v="SIT26018 • LKG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19"/>
    <s v="Bhavesh Rana"/>
    <s v="SIT26019 • 0"/>
    <s v="P"/>
    <s v="P"/>
    <s v="P"/>
    <s v="H"/>
    <s v="P"/>
    <s v="SUN"/>
    <s v="P"/>
    <s v="P"/>
    <s v="P"/>
    <s v="P"/>
    <s v="L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20"/>
    <s v="Payal Rana"/>
    <s v="SIT26020 • 0"/>
    <s v="P"/>
    <s v="P"/>
    <s v="P"/>
    <s v="H"/>
    <s v="P"/>
    <s v="SUN"/>
    <s v="P"/>
    <s v="P"/>
    <s v="P"/>
    <s v="P"/>
    <s v="L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21"/>
    <s v="Damini"/>
    <s v="SIT26021 • 0"/>
    <s v="S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S"/>
    <s v="P"/>
    <s v=""/>
    <s v="LL"/>
    <s v=""/>
    <s v="SUN"/>
    <s v=""/>
    <s v=""/>
    <s v=""/>
    <x v="1"/>
  </r>
  <r>
    <s v="SIT26022"/>
    <s v="Vansh Rana"/>
    <s v="SIT26022 • HKG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23"/>
    <s v="Vanshika"/>
    <s v="SIT26023 • 0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24"/>
    <s v="Sheetal"/>
    <s v="SIT26024 • 2"/>
    <s v="P"/>
    <s v="P"/>
    <s v="P"/>
    <s v="H"/>
    <s v="P"/>
    <s v="SUN"/>
    <s v="P"/>
    <s v="P"/>
    <s v="L"/>
    <s v="P"/>
    <s v="L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25"/>
    <s v="Kunal Rana"/>
    <s v="SIT26025 • 0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"/>
    <s v=""/>
    <s v="SUN"/>
    <s v=""/>
    <s v=""/>
    <s v=""/>
    <x v="0"/>
  </r>
  <r>
    <s v="SIT26026"/>
    <s v="Riyansh Rana"/>
    <s v="SIT26026 • 0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27"/>
    <s v="Hitanshu"/>
    <s v="SIT26027 • 0"/>
    <s v="P"/>
    <s v="P"/>
    <s v="P"/>
    <s v="H"/>
    <s v="P"/>
    <s v="SUN"/>
    <s v="P"/>
    <s v="P"/>
    <s v="P"/>
    <s v="P"/>
    <s v="P"/>
    <s v="P"/>
    <s v="SUN"/>
    <s v="P"/>
    <s v="P"/>
    <s v="P"/>
    <s v="P"/>
    <s v="H"/>
    <s v="P"/>
    <s v="SUN"/>
    <s v="P"/>
    <s v="P"/>
    <s v="P"/>
    <s v=""/>
    <s v="LL"/>
    <s v=""/>
    <s v="SUN"/>
    <s v=""/>
    <s v=""/>
    <s v=""/>
    <x v="0"/>
  </r>
  <r>
    <s v="SIT26028"/>
    <s v="Punit"/>
    <s v="SIT26028 • 0"/>
    <s v="A"/>
    <s v="A"/>
    <s v="A"/>
    <s v="H"/>
    <s v="A"/>
    <s v="SUN"/>
    <s v="A"/>
    <s v="A"/>
    <s v="P"/>
    <s v="A"/>
    <s v="A"/>
    <s v="A"/>
    <s v="SUN"/>
    <s v="A"/>
    <s v="A"/>
    <s v="A"/>
    <s v="A"/>
    <s v="H"/>
    <s v="A"/>
    <s v="SUN"/>
    <s v="A"/>
    <s v="A"/>
    <s v="A"/>
    <s v=""/>
    <s v="LL"/>
    <s v=""/>
    <s v="SUN"/>
    <s v=""/>
    <s v=""/>
    <s v=""/>
    <x v="5"/>
  </r>
  <r>
    <s v=""/>
    <s v=""/>
    <s v="%"/>
    <s v="93%"/>
    <s v="89%"/>
    <s v="93%"/>
    <s v=""/>
    <s v="93%"/>
    <s v=""/>
    <s v="93%"/>
    <s v="93%"/>
    <s v="93%"/>
    <s v="89%"/>
    <s v="86%"/>
    <s v="93%"/>
    <s v=""/>
    <s v="93%"/>
    <s v="96%"/>
    <s v="93%"/>
    <s v="93%"/>
    <s v=""/>
    <s v="93%"/>
    <s v=""/>
    <s v="96%"/>
    <s v="89%"/>
    <s v="82%"/>
    <s v=""/>
    <s v="100%"/>
    <s v=""/>
    <s v=""/>
    <s v=""/>
    <s v=""/>
    <s v="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1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6"/>
        <item x="0"/>
        <item x="5"/>
        <item x="2"/>
        <item x="3"/>
        <item x="1"/>
        <item x="4"/>
        <item t="default"/>
      </items>
    </pivotField>
  </pivotFields>
  <rowFields count="1">
    <field x="3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%" fld="33" subtotal="count" baseField="0" baseItem="0"/>
  </dataFields>
  <formats count="5">
    <format dxfId="4">
      <pivotArea collapsedLevelsAreSubtotals="1" fieldPosition="0">
        <references count="1">
          <reference field="33" count="1">
            <x v="1"/>
          </reference>
        </references>
      </pivotArea>
    </format>
    <format dxfId="3">
      <pivotArea collapsedLevelsAreSubtotals="1" fieldPosition="0">
        <references count="1">
          <reference field="33" count="1">
            <x v="6"/>
          </reference>
        </references>
      </pivotArea>
    </format>
    <format dxfId="2">
      <pivotArea collapsedLevelsAreSubtotals="1" fieldPosition="0">
        <references count="1">
          <reference field="33" count="1">
            <x v="5"/>
          </reference>
        </references>
      </pivotArea>
    </format>
    <format dxfId="1">
      <pivotArea collapsedLevelsAreSubtotals="1" fieldPosition="0">
        <references count="1">
          <reference field="33" count="1">
            <x v="4"/>
          </reference>
        </references>
      </pivotArea>
    </format>
    <format dxfId="0">
      <pivotArea collapsedLevelsAreSubtotals="1" fieldPosition="0">
        <references count="1">
          <reference field="33" count="1">
            <x v="3"/>
          </reference>
        </references>
      </pivotArea>
    </format>
  </formats>
  <pivotTableStyleInfo name="PivotStyleMedium4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22"/>
  <sheetViews>
    <sheetView workbookViewId="0">
      <selection activeCell="A5" sqref="A5:B10"/>
      <pivotSelection pane="bottomRight" showHeader="1" extendable="1" axis="axisRow" start="1" max="8" activeRow="4" previousRow="9" click="1" r:id="rId1">
        <pivotArea dataOnly="0" axis="axisRow" fieldPosition="0">
          <references count="1">
            <reference field="33" count="6">
              <x v="1"/>
              <x v="2"/>
              <x v="3"/>
              <x v="4"/>
              <x v="5"/>
              <x v="6"/>
            </reference>
          </references>
        </pivotArea>
      </pivotSelection>
    </sheetView>
  </sheetViews>
  <sheetFormatPr defaultRowHeight="15.75"/>
  <cols>
    <col min="1" max="1" width="12.125" bestFit="1" customWidth="1"/>
    <col min="2" max="2" width="9.625" bestFit="1" customWidth="1"/>
  </cols>
  <sheetData>
    <row r="3" spans="1:5">
      <c r="A3" s="3" t="s">
        <v>135</v>
      </c>
      <c r="B3" t="s">
        <v>137</v>
      </c>
    </row>
    <row r="4" spans="1:5">
      <c r="A4" s="4"/>
      <c r="B4">
        <v>1</v>
      </c>
    </row>
    <row r="5" spans="1:5">
      <c r="A5" s="4" t="s">
        <v>42</v>
      </c>
      <c r="B5" s="5">
        <v>19</v>
      </c>
    </row>
    <row r="6" spans="1:5">
      <c r="A6" s="4" t="s">
        <v>130</v>
      </c>
      <c r="B6">
        <v>1</v>
      </c>
    </row>
    <row r="7" spans="1:5">
      <c r="A7" s="4" t="s">
        <v>51</v>
      </c>
      <c r="B7" s="5">
        <v>1</v>
      </c>
    </row>
    <row r="8" spans="1:5">
      <c r="A8" s="4" t="s">
        <v>65</v>
      </c>
      <c r="B8" s="5">
        <v>1</v>
      </c>
    </row>
    <row r="9" spans="1:5">
      <c r="A9" s="4" t="s">
        <v>47</v>
      </c>
      <c r="B9" s="5">
        <v>3</v>
      </c>
    </row>
    <row r="10" spans="1:5">
      <c r="A10" s="4" t="s">
        <v>87</v>
      </c>
      <c r="B10" s="5">
        <v>3</v>
      </c>
    </row>
    <row r="11" spans="1:5">
      <c r="A11" s="4" t="s">
        <v>136</v>
      </c>
      <c r="B11">
        <v>29</v>
      </c>
    </row>
    <row r="13" spans="1:5" ht="16.5" thickBot="1"/>
    <row r="14" spans="1:5" ht="16.5" thickBot="1">
      <c r="A14" s="6" t="s">
        <v>139</v>
      </c>
      <c r="B14" s="7"/>
      <c r="C14" s="7"/>
      <c r="D14" s="8" t="s">
        <v>140</v>
      </c>
      <c r="E14" s="9" t="s">
        <v>141</v>
      </c>
    </row>
    <row r="15" spans="1:5">
      <c r="A15" s="10" t="s">
        <v>142</v>
      </c>
      <c r="B15" s="11" t="s">
        <v>143</v>
      </c>
      <c r="C15" s="12" t="s">
        <v>33</v>
      </c>
      <c r="D15" s="13" t="s">
        <v>144</v>
      </c>
      <c r="E15" s="14"/>
    </row>
    <row r="16" spans="1:5">
      <c r="A16" s="15" t="s">
        <v>145</v>
      </c>
      <c r="B16" s="16">
        <v>22</v>
      </c>
      <c r="C16" s="17" t="e">
        <f>+B16/$F$22</f>
        <v>#DIV/0!</v>
      </c>
      <c r="D16" s="18" t="e">
        <f>C16</f>
        <v>#DIV/0!</v>
      </c>
      <c r="E16" s="14"/>
    </row>
    <row r="17" spans="1:5">
      <c r="A17" s="15" t="s">
        <v>146</v>
      </c>
      <c r="B17" s="16">
        <v>1</v>
      </c>
      <c r="C17" s="17" t="e">
        <f t="shared" ref="C17:C21" si="0">+B17/$F$22</f>
        <v>#DIV/0!</v>
      </c>
      <c r="D17" s="18" t="e">
        <f>+D16+C17</f>
        <v>#DIV/0!</v>
      </c>
      <c r="E17" s="14"/>
    </row>
    <row r="18" spans="1:5">
      <c r="A18" s="15" t="s">
        <v>147</v>
      </c>
      <c r="B18" s="16">
        <v>1</v>
      </c>
      <c r="C18" s="17" t="e">
        <f t="shared" si="0"/>
        <v>#DIV/0!</v>
      </c>
      <c r="D18" s="18" t="e">
        <f>+D17+C18</f>
        <v>#DIV/0!</v>
      </c>
      <c r="E18" s="14"/>
    </row>
    <row r="19" spans="1:5">
      <c r="A19" s="15" t="s">
        <v>148</v>
      </c>
      <c r="B19" s="16">
        <v>3</v>
      </c>
      <c r="C19" s="17" t="e">
        <f t="shared" si="0"/>
        <v>#DIV/0!</v>
      </c>
      <c r="D19" s="18" t="e">
        <f>+D18+C19</f>
        <v>#DIV/0!</v>
      </c>
      <c r="E19" s="14"/>
    </row>
    <row r="20" spans="1:5">
      <c r="A20" s="15" t="s">
        <v>149</v>
      </c>
      <c r="B20" s="16">
        <v>1</v>
      </c>
      <c r="C20" s="17" t="e">
        <f t="shared" si="0"/>
        <v>#DIV/0!</v>
      </c>
      <c r="D20" s="18" t="e">
        <f>+D19+C20</f>
        <v>#DIV/0!</v>
      </c>
      <c r="E20" s="14"/>
    </row>
    <row r="21" spans="1:5">
      <c r="A21" s="19" t="s">
        <v>150</v>
      </c>
      <c r="B21" s="16">
        <v>0</v>
      </c>
      <c r="C21" s="17" t="e">
        <f t="shared" si="0"/>
        <v>#DIV/0!</v>
      </c>
      <c r="D21" s="18" t="e">
        <f>+D20+C21</f>
        <v>#DIV/0!</v>
      </c>
      <c r="E21" s="14"/>
    </row>
    <row r="22" spans="1:5" ht="16.5" thickBot="1">
      <c r="A22" s="20"/>
      <c r="B22" s="21">
        <f>SUM(B16:B21)</f>
        <v>28</v>
      </c>
      <c r="C22" s="22" t="e">
        <f>SUM(C16:C21)</f>
        <v>#DIV/0!</v>
      </c>
      <c r="D22" s="23"/>
      <c r="E22" s="24"/>
    </row>
  </sheetData>
  <mergeCells count="1">
    <mergeCell ref="A14:C14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D3" sqref="AD3"/>
    </sheetView>
  </sheetViews>
  <sheetFormatPr defaultRowHeight="15.75"/>
  <cols>
    <col min="1" max="1" width="8.25" bestFit="1" customWidth="1"/>
    <col min="2" max="2" width="12.75" bestFit="1" customWidth="1"/>
    <col min="3" max="3" width="14" bestFit="1" customWidth="1"/>
    <col min="4" max="33" width="4.875" customWidth="1"/>
    <col min="34" max="34" width="6.875" customWidth="1"/>
    <col min="35" max="35" width="6.625" style="26" customWidth="1"/>
  </cols>
  <sheetData>
    <row r="1" spans="1:35" ht="15" customHeight="1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5" s="2" customForma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5" t="s">
        <v>33</v>
      </c>
    </row>
    <row r="3" spans="1:35">
      <c r="A3" t="s">
        <v>34</v>
      </c>
      <c r="B3" t="s">
        <v>35</v>
      </c>
      <c r="C3" t="s">
        <v>36</v>
      </c>
      <c r="D3" t="s">
        <v>37</v>
      </c>
      <c r="E3" t="s">
        <v>37</v>
      </c>
      <c r="F3" t="s">
        <v>37</v>
      </c>
      <c r="G3" t="s">
        <v>38</v>
      </c>
      <c r="H3" t="s">
        <v>37</v>
      </c>
      <c r="I3" t="s">
        <v>39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39</v>
      </c>
      <c r="Q3" t="s">
        <v>37</v>
      </c>
      <c r="R3" t="s">
        <v>37</v>
      </c>
      <c r="S3" t="s">
        <v>37</v>
      </c>
      <c r="T3" t="s">
        <v>37</v>
      </c>
      <c r="U3" t="s">
        <v>38</v>
      </c>
      <c r="V3" t="s">
        <v>37</v>
      </c>
      <c r="W3" t="s">
        <v>39</v>
      </c>
      <c r="X3" t="s">
        <v>37</v>
      </c>
      <c r="Y3" t="s">
        <v>37</v>
      </c>
      <c r="Z3" t="s">
        <v>37</v>
      </c>
      <c r="AA3" t="s">
        <v>40</v>
      </c>
      <c r="AB3" t="s">
        <v>41</v>
      </c>
      <c r="AC3" t="s">
        <v>40</v>
      </c>
      <c r="AD3" t="s">
        <v>39</v>
      </c>
      <c r="AE3" t="s">
        <v>40</v>
      </c>
      <c r="AF3" t="s">
        <v>40</v>
      </c>
      <c r="AG3" t="s">
        <v>40</v>
      </c>
      <c r="AH3" t="s">
        <v>42</v>
      </c>
      <c r="AI3" s="26">
        <v>1</v>
      </c>
    </row>
    <row r="4" spans="1:35">
      <c r="A4" t="s">
        <v>43</v>
      </c>
      <c r="B4" t="s">
        <v>44</v>
      </c>
      <c r="C4" t="s">
        <v>45</v>
      </c>
      <c r="D4" t="s">
        <v>37</v>
      </c>
      <c r="E4" t="s">
        <v>37</v>
      </c>
      <c r="F4" t="s">
        <v>37</v>
      </c>
      <c r="G4" t="s">
        <v>38</v>
      </c>
      <c r="H4" t="s">
        <v>37</v>
      </c>
      <c r="I4" t="s">
        <v>39</v>
      </c>
      <c r="J4" t="s">
        <v>37</v>
      </c>
      <c r="K4" t="s">
        <v>37</v>
      </c>
      <c r="L4" t="s">
        <v>37</v>
      </c>
      <c r="M4" t="s">
        <v>46</v>
      </c>
      <c r="N4" t="s">
        <v>37</v>
      </c>
      <c r="O4" t="s">
        <v>46</v>
      </c>
      <c r="P4" t="s">
        <v>39</v>
      </c>
      <c r="Q4" t="s">
        <v>37</v>
      </c>
      <c r="R4" t="s">
        <v>37</v>
      </c>
      <c r="S4" t="s">
        <v>37</v>
      </c>
      <c r="T4" t="s">
        <v>37</v>
      </c>
      <c r="U4" t="s">
        <v>38</v>
      </c>
      <c r="V4" t="s">
        <v>37</v>
      </c>
      <c r="W4" t="s">
        <v>39</v>
      </c>
      <c r="X4" t="s">
        <v>37</v>
      </c>
      <c r="Y4" t="s">
        <v>37</v>
      </c>
      <c r="Z4" t="s">
        <v>37</v>
      </c>
      <c r="AA4" t="s">
        <v>40</v>
      </c>
      <c r="AB4" t="s">
        <v>41</v>
      </c>
      <c r="AC4" t="s">
        <v>40</v>
      </c>
      <c r="AD4" t="s">
        <v>39</v>
      </c>
      <c r="AE4" t="s">
        <v>40</v>
      </c>
      <c r="AF4" t="s">
        <v>40</v>
      </c>
      <c r="AG4" t="s">
        <v>40</v>
      </c>
      <c r="AH4" t="s">
        <v>47</v>
      </c>
      <c r="AI4" s="26">
        <v>0.89</v>
      </c>
    </row>
    <row r="5" spans="1:35">
      <c r="A5" t="s">
        <v>48</v>
      </c>
      <c r="B5" t="s">
        <v>49</v>
      </c>
      <c r="C5" t="s">
        <v>50</v>
      </c>
      <c r="D5" t="s">
        <v>37</v>
      </c>
      <c r="E5" t="s">
        <v>37</v>
      </c>
      <c r="F5" t="s">
        <v>46</v>
      </c>
      <c r="G5" t="s">
        <v>38</v>
      </c>
      <c r="H5" t="s">
        <v>46</v>
      </c>
      <c r="I5" t="s">
        <v>39</v>
      </c>
      <c r="J5" t="s">
        <v>46</v>
      </c>
      <c r="K5" t="s">
        <v>46</v>
      </c>
      <c r="L5" t="s">
        <v>46</v>
      </c>
      <c r="M5" t="s">
        <v>37</v>
      </c>
      <c r="N5" t="s">
        <v>46</v>
      </c>
      <c r="O5" t="s">
        <v>37</v>
      </c>
      <c r="P5" t="s">
        <v>39</v>
      </c>
      <c r="Q5" t="s">
        <v>46</v>
      </c>
      <c r="R5" t="s">
        <v>37</v>
      </c>
      <c r="S5" t="s">
        <v>46</v>
      </c>
      <c r="T5" t="s">
        <v>46</v>
      </c>
      <c r="U5" t="s">
        <v>38</v>
      </c>
      <c r="V5" t="s">
        <v>46</v>
      </c>
      <c r="W5" t="s">
        <v>39</v>
      </c>
      <c r="X5" t="s">
        <v>37</v>
      </c>
      <c r="Y5" t="s">
        <v>46</v>
      </c>
      <c r="Z5" t="s">
        <v>46</v>
      </c>
      <c r="AA5" t="s">
        <v>40</v>
      </c>
      <c r="AB5" t="s">
        <v>41</v>
      </c>
      <c r="AC5" t="s">
        <v>40</v>
      </c>
      <c r="AD5" t="s">
        <v>39</v>
      </c>
      <c r="AE5" t="s">
        <v>40</v>
      </c>
      <c r="AF5" t="s">
        <v>40</v>
      </c>
      <c r="AG5" t="s">
        <v>40</v>
      </c>
      <c r="AH5" t="s">
        <v>51</v>
      </c>
      <c r="AI5" s="27">
        <v>0.37</v>
      </c>
    </row>
    <row r="6" spans="1:35">
      <c r="A6" t="s">
        <v>52</v>
      </c>
      <c r="B6" t="s">
        <v>53</v>
      </c>
      <c r="C6" t="s">
        <v>54</v>
      </c>
      <c r="D6" t="s">
        <v>37</v>
      </c>
      <c r="E6" t="s">
        <v>37</v>
      </c>
      <c r="F6" t="s">
        <v>37</v>
      </c>
      <c r="G6" t="s">
        <v>38</v>
      </c>
      <c r="H6" t="s">
        <v>37</v>
      </c>
      <c r="I6" t="s">
        <v>39</v>
      </c>
      <c r="J6" t="s">
        <v>37</v>
      </c>
      <c r="K6" t="s">
        <v>37</v>
      </c>
      <c r="L6" t="s">
        <v>37</v>
      </c>
      <c r="M6" t="s">
        <v>37</v>
      </c>
      <c r="N6" t="s">
        <v>46</v>
      </c>
      <c r="O6" t="s">
        <v>37</v>
      </c>
      <c r="P6" t="s">
        <v>39</v>
      </c>
      <c r="Q6" t="s">
        <v>37</v>
      </c>
      <c r="R6" t="s">
        <v>37</v>
      </c>
      <c r="S6" t="s">
        <v>37</v>
      </c>
      <c r="T6" t="s">
        <v>37</v>
      </c>
      <c r="U6" t="s">
        <v>38</v>
      </c>
      <c r="V6" t="s">
        <v>37</v>
      </c>
      <c r="W6" t="s">
        <v>39</v>
      </c>
      <c r="X6" t="s">
        <v>37</v>
      </c>
      <c r="Y6" t="s">
        <v>37</v>
      </c>
      <c r="Z6" t="s">
        <v>46</v>
      </c>
      <c r="AA6" t="s">
        <v>40</v>
      </c>
      <c r="AB6" t="s">
        <v>41</v>
      </c>
      <c r="AC6" t="s">
        <v>40</v>
      </c>
      <c r="AD6" t="s">
        <v>39</v>
      </c>
      <c r="AE6" t="s">
        <v>40</v>
      </c>
      <c r="AF6" t="s">
        <v>40</v>
      </c>
      <c r="AG6" t="s">
        <v>40</v>
      </c>
      <c r="AH6" t="s">
        <v>47</v>
      </c>
      <c r="AI6" s="27">
        <v>0.89</v>
      </c>
    </row>
    <row r="7" spans="1:35">
      <c r="A7" t="s">
        <v>55</v>
      </c>
      <c r="B7" t="s">
        <v>56</v>
      </c>
      <c r="C7" t="s">
        <v>57</v>
      </c>
      <c r="D7" t="s">
        <v>37</v>
      </c>
      <c r="E7" t="s">
        <v>37</v>
      </c>
      <c r="F7" t="s">
        <v>37</v>
      </c>
      <c r="G7" t="s">
        <v>38</v>
      </c>
      <c r="H7" t="s">
        <v>37</v>
      </c>
      <c r="I7" t="s">
        <v>39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39</v>
      </c>
      <c r="Q7" t="s">
        <v>37</v>
      </c>
      <c r="R7" t="s">
        <v>37</v>
      </c>
      <c r="S7" t="s">
        <v>37</v>
      </c>
      <c r="T7" t="s">
        <v>37</v>
      </c>
      <c r="U7" t="s">
        <v>38</v>
      </c>
      <c r="V7" t="s">
        <v>37</v>
      </c>
      <c r="W7" t="s">
        <v>39</v>
      </c>
      <c r="X7" t="s">
        <v>37</v>
      </c>
      <c r="Y7" t="s">
        <v>37</v>
      </c>
      <c r="Z7" t="s">
        <v>37</v>
      </c>
      <c r="AA7" t="s">
        <v>40</v>
      </c>
      <c r="AB7" t="s">
        <v>41</v>
      </c>
      <c r="AC7" t="s">
        <v>40</v>
      </c>
      <c r="AD7" t="s">
        <v>39</v>
      </c>
      <c r="AE7" t="s">
        <v>40</v>
      </c>
      <c r="AF7" t="s">
        <v>40</v>
      </c>
      <c r="AG7" t="s">
        <v>40</v>
      </c>
      <c r="AH7" t="s">
        <v>42</v>
      </c>
      <c r="AI7" s="26">
        <v>1</v>
      </c>
    </row>
    <row r="8" spans="1:35">
      <c r="A8" t="s">
        <v>58</v>
      </c>
      <c r="B8" t="s">
        <v>59</v>
      </c>
      <c r="C8" t="s">
        <v>60</v>
      </c>
      <c r="D8" t="s">
        <v>37</v>
      </c>
      <c r="E8" t="s">
        <v>37</v>
      </c>
      <c r="F8" t="s">
        <v>37</v>
      </c>
      <c r="G8" t="s">
        <v>38</v>
      </c>
      <c r="H8" t="s">
        <v>37</v>
      </c>
      <c r="I8" t="s">
        <v>39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39</v>
      </c>
      <c r="Q8" t="s">
        <v>37</v>
      </c>
      <c r="R8" t="s">
        <v>37</v>
      </c>
      <c r="S8" t="s">
        <v>37</v>
      </c>
      <c r="T8" t="s">
        <v>37</v>
      </c>
      <c r="U8" t="s">
        <v>38</v>
      </c>
      <c r="V8" t="s">
        <v>37</v>
      </c>
      <c r="W8" t="s">
        <v>39</v>
      </c>
      <c r="X8" t="s">
        <v>37</v>
      </c>
      <c r="Y8" t="s">
        <v>37</v>
      </c>
      <c r="Z8" t="s">
        <v>37</v>
      </c>
      <c r="AA8" t="s">
        <v>40</v>
      </c>
      <c r="AB8" t="s">
        <v>41</v>
      </c>
      <c r="AC8" t="s">
        <v>40</v>
      </c>
      <c r="AD8" t="s">
        <v>39</v>
      </c>
      <c r="AE8" t="s">
        <v>40</v>
      </c>
      <c r="AF8" t="s">
        <v>40</v>
      </c>
      <c r="AG8" t="s">
        <v>40</v>
      </c>
      <c r="AH8" t="s">
        <v>42</v>
      </c>
      <c r="AI8" s="26">
        <v>1</v>
      </c>
    </row>
    <row r="9" spans="1:35">
      <c r="A9" t="s">
        <v>61</v>
      </c>
      <c r="B9" t="s">
        <v>62</v>
      </c>
      <c r="C9" t="s">
        <v>63</v>
      </c>
      <c r="D9" t="s">
        <v>37</v>
      </c>
      <c r="E9" t="s">
        <v>46</v>
      </c>
      <c r="F9" t="s">
        <v>37</v>
      </c>
      <c r="G9" t="s">
        <v>38</v>
      </c>
      <c r="H9" t="s">
        <v>37</v>
      </c>
      <c r="I9" t="s">
        <v>39</v>
      </c>
      <c r="J9" t="s">
        <v>37</v>
      </c>
      <c r="K9" t="s">
        <v>37</v>
      </c>
      <c r="L9" t="s">
        <v>64</v>
      </c>
      <c r="M9" t="s">
        <v>64</v>
      </c>
      <c r="N9" t="s">
        <v>37</v>
      </c>
      <c r="O9" t="s">
        <v>37</v>
      </c>
      <c r="P9" t="s">
        <v>39</v>
      </c>
      <c r="Q9" t="s">
        <v>37</v>
      </c>
      <c r="R9" t="s">
        <v>37</v>
      </c>
      <c r="S9" t="s">
        <v>37</v>
      </c>
      <c r="T9" t="s">
        <v>37</v>
      </c>
      <c r="U9" t="s">
        <v>38</v>
      </c>
      <c r="V9" t="s">
        <v>37</v>
      </c>
      <c r="W9" t="s">
        <v>39</v>
      </c>
      <c r="X9" t="s">
        <v>37</v>
      </c>
      <c r="Y9" t="s">
        <v>37</v>
      </c>
      <c r="Z9" t="s">
        <v>46</v>
      </c>
      <c r="AA9" t="s">
        <v>40</v>
      </c>
      <c r="AB9" t="s">
        <v>41</v>
      </c>
      <c r="AC9" t="s">
        <v>40</v>
      </c>
      <c r="AD9" t="s">
        <v>39</v>
      </c>
      <c r="AE9" t="s">
        <v>40</v>
      </c>
      <c r="AF9" t="s">
        <v>40</v>
      </c>
      <c r="AG9" t="s">
        <v>40</v>
      </c>
      <c r="AH9" t="s">
        <v>65</v>
      </c>
      <c r="AI9" s="26">
        <v>0.79</v>
      </c>
    </row>
    <row r="10" spans="1:35">
      <c r="A10" t="s">
        <v>66</v>
      </c>
      <c r="B10" t="s">
        <v>67</v>
      </c>
      <c r="C10" t="s">
        <v>68</v>
      </c>
      <c r="D10" t="s">
        <v>37</v>
      </c>
      <c r="E10" t="s">
        <v>37</v>
      </c>
      <c r="F10" t="s">
        <v>37</v>
      </c>
      <c r="G10" t="s">
        <v>38</v>
      </c>
      <c r="H10" t="s">
        <v>37</v>
      </c>
      <c r="I10" t="s">
        <v>39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39</v>
      </c>
      <c r="Q10" t="s">
        <v>37</v>
      </c>
      <c r="R10" t="s">
        <v>37</v>
      </c>
      <c r="S10" t="s">
        <v>37</v>
      </c>
      <c r="T10" t="s">
        <v>37</v>
      </c>
      <c r="U10" t="s">
        <v>38</v>
      </c>
      <c r="V10" t="s">
        <v>37</v>
      </c>
      <c r="W10" t="s">
        <v>39</v>
      </c>
      <c r="X10" t="s">
        <v>37</v>
      </c>
      <c r="Y10" t="s">
        <v>37</v>
      </c>
      <c r="Z10" t="s">
        <v>37</v>
      </c>
      <c r="AA10" t="s">
        <v>40</v>
      </c>
      <c r="AB10" t="s">
        <v>41</v>
      </c>
      <c r="AC10" t="s">
        <v>40</v>
      </c>
      <c r="AD10" t="s">
        <v>39</v>
      </c>
      <c r="AE10" t="s">
        <v>40</v>
      </c>
      <c r="AF10" t="s">
        <v>40</v>
      </c>
      <c r="AG10" t="s">
        <v>40</v>
      </c>
      <c r="AH10" t="s">
        <v>42</v>
      </c>
      <c r="AI10" s="26">
        <v>1</v>
      </c>
    </row>
    <row r="11" spans="1:35">
      <c r="A11" t="s">
        <v>69</v>
      </c>
      <c r="B11" t="s">
        <v>70</v>
      </c>
      <c r="C11" t="s">
        <v>71</v>
      </c>
      <c r="D11" t="s">
        <v>37</v>
      </c>
      <c r="E11" t="s">
        <v>37</v>
      </c>
      <c r="F11" t="s">
        <v>37</v>
      </c>
      <c r="G11" t="s">
        <v>38</v>
      </c>
      <c r="H11" t="s">
        <v>37</v>
      </c>
      <c r="I11" t="s">
        <v>39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39</v>
      </c>
      <c r="Q11" t="s">
        <v>37</v>
      </c>
      <c r="R11" t="s">
        <v>37</v>
      </c>
      <c r="S11" t="s">
        <v>37</v>
      </c>
      <c r="T11" t="s">
        <v>37</v>
      </c>
      <c r="U11" t="s">
        <v>38</v>
      </c>
      <c r="V11" t="s">
        <v>37</v>
      </c>
      <c r="W11" t="s">
        <v>39</v>
      </c>
      <c r="X11" t="s">
        <v>37</v>
      </c>
      <c r="Y11" t="s">
        <v>37</v>
      </c>
      <c r="Z11" t="s">
        <v>37</v>
      </c>
      <c r="AA11" t="s">
        <v>40</v>
      </c>
      <c r="AB11" t="s">
        <v>41</v>
      </c>
      <c r="AC11" t="s">
        <v>40</v>
      </c>
      <c r="AD11" t="s">
        <v>39</v>
      </c>
      <c r="AE11" t="s">
        <v>40</v>
      </c>
      <c r="AF11" t="s">
        <v>40</v>
      </c>
      <c r="AG11" t="s">
        <v>40</v>
      </c>
      <c r="AH11" t="s">
        <v>42</v>
      </c>
      <c r="AI11" s="26">
        <v>1</v>
      </c>
    </row>
    <row r="12" spans="1:35">
      <c r="A12" t="s">
        <v>72</v>
      </c>
      <c r="B12" t="s">
        <v>73</v>
      </c>
      <c r="C12" t="s">
        <v>74</v>
      </c>
      <c r="D12" t="s">
        <v>37</v>
      </c>
      <c r="E12" t="s">
        <v>37</v>
      </c>
      <c r="F12" t="s">
        <v>37</v>
      </c>
      <c r="G12" t="s">
        <v>38</v>
      </c>
      <c r="H12" t="s">
        <v>37</v>
      </c>
      <c r="I12" t="s">
        <v>39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39</v>
      </c>
      <c r="Q12" t="s">
        <v>37</v>
      </c>
      <c r="R12" t="s">
        <v>37</v>
      </c>
      <c r="S12" t="s">
        <v>37</v>
      </c>
      <c r="T12" t="s">
        <v>37</v>
      </c>
      <c r="U12" t="s">
        <v>38</v>
      </c>
      <c r="V12" t="s">
        <v>37</v>
      </c>
      <c r="W12" t="s">
        <v>39</v>
      </c>
      <c r="X12" t="s">
        <v>37</v>
      </c>
      <c r="Y12" t="s">
        <v>37</v>
      </c>
      <c r="Z12" t="s">
        <v>37</v>
      </c>
      <c r="AA12" t="s">
        <v>40</v>
      </c>
      <c r="AB12" t="s">
        <v>41</v>
      </c>
      <c r="AC12" t="s">
        <v>40</v>
      </c>
      <c r="AD12" t="s">
        <v>39</v>
      </c>
      <c r="AE12" t="s">
        <v>40</v>
      </c>
      <c r="AF12" t="s">
        <v>40</v>
      </c>
      <c r="AG12" t="s">
        <v>40</v>
      </c>
      <c r="AH12" t="s">
        <v>42</v>
      </c>
      <c r="AI12" s="26">
        <v>1</v>
      </c>
    </row>
    <row r="13" spans="1:35">
      <c r="A13" t="s">
        <v>75</v>
      </c>
      <c r="B13" t="s">
        <v>76</v>
      </c>
      <c r="C13" t="s">
        <v>77</v>
      </c>
      <c r="D13" t="s">
        <v>37</v>
      </c>
      <c r="E13" t="s">
        <v>37</v>
      </c>
      <c r="F13" t="s">
        <v>37</v>
      </c>
      <c r="G13" t="s">
        <v>38</v>
      </c>
      <c r="H13" t="s">
        <v>37</v>
      </c>
      <c r="I13" t="s">
        <v>39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39</v>
      </c>
      <c r="Q13" t="s">
        <v>37</v>
      </c>
      <c r="R13" t="s">
        <v>37</v>
      </c>
      <c r="S13" t="s">
        <v>37</v>
      </c>
      <c r="T13" t="s">
        <v>37</v>
      </c>
      <c r="U13" t="s">
        <v>38</v>
      </c>
      <c r="V13" t="s">
        <v>37</v>
      </c>
      <c r="W13" t="s">
        <v>39</v>
      </c>
      <c r="X13" t="s">
        <v>37</v>
      </c>
      <c r="Y13" t="s">
        <v>37</v>
      </c>
      <c r="Z13" t="s">
        <v>37</v>
      </c>
      <c r="AA13" t="s">
        <v>40</v>
      </c>
      <c r="AB13" t="s">
        <v>41</v>
      </c>
      <c r="AC13" t="s">
        <v>40</v>
      </c>
      <c r="AD13" t="s">
        <v>39</v>
      </c>
      <c r="AE13" t="s">
        <v>40</v>
      </c>
      <c r="AF13" t="s">
        <v>40</v>
      </c>
      <c r="AG13" t="s">
        <v>40</v>
      </c>
      <c r="AH13" t="s">
        <v>42</v>
      </c>
      <c r="AI13" s="26">
        <v>1</v>
      </c>
    </row>
    <row r="14" spans="1:35">
      <c r="A14" t="s">
        <v>78</v>
      </c>
      <c r="B14" t="s">
        <v>79</v>
      </c>
      <c r="C14" t="s">
        <v>80</v>
      </c>
      <c r="D14" t="s">
        <v>37</v>
      </c>
      <c r="E14" t="s">
        <v>37</v>
      </c>
      <c r="F14" t="s">
        <v>37</v>
      </c>
      <c r="G14" t="s">
        <v>38</v>
      </c>
      <c r="H14" t="s">
        <v>37</v>
      </c>
      <c r="I14" t="s">
        <v>39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39</v>
      </c>
      <c r="Q14" t="s">
        <v>37</v>
      </c>
      <c r="R14" t="s">
        <v>37</v>
      </c>
      <c r="S14" t="s">
        <v>37</v>
      </c>
      <c r="T14" t="s">
        <v>37</v>
      </c>
      <c r="U14" t="s">
        <v>38</v>
      </c>
      <c r="V14" t="s">
        <v>37</v>
      </c>
      <c r="W14" t="s">
        <v>39</v>
      </c>
      <c r="X14" t="s">
        <v>37</v>
      </c>
      <c r="Y14" t="s">
        <v>37</v>
      </c>
      <c r="Z14" t="s">
        <v>37</v>
      </c>
      <c r="AA14" t="s">
        <v>40</v>
      </c>
      <c r="AB14" t="s">
        <v>41</v>
      </c>
      <c r="AC14" t="s">
        <v>40</v>
      </c>
      <c r="AD14" t="s">
        <v>39</v>
      </c>
      <c r="AE14" t="s">
        <v>40</v>
      </c>
      <c r="AF14" t="s">
        <v>40</v>
      </c>
      <c r="AG14" t="s">
        <v>40</v>
      </c>
      <c r="AH14" t="s">
        <v>42</v>
      </c>
      <c r="AI14" s="26">
        <v>1</v>
      </c>
    </row>
    <row r="15" spans="1:35">
      <c r="A15" t="s">
        <v>81</v>
      </c>
      <c r="B15" t="s">
        <v>82</v>
      </c>
      <c r="C15" t="s">
        <v>83</v>
      </c>
      <c r="D15" t="s">
        <v>37</v>
      </c>
      <c r="E15" t="s">
        <v>37</v>
      </c>
      <c r="F15" t="s">
        <v>37</v>
      </c>
      <c r="G15" t="s">
        <v>38</v>
      </c>
      <c r="H15" t="s">
        <v>37</v>
      </c>
      <c r="I15" t="s">
        <v>39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39</v>
      </c>
      <c r="Q15" t="s">
        <v>37</v>
      </c>
      <c r="R15" t="s">
        <v>37</v>
      </c>
      <c r="S15" t="s">
        <v>37</v>
      </c>
      <c r="T15" t="s">
        <v>37</v>
      </c>
      <c r="U15" t="s">
        <v>38</v>
      </c>
      <c r="V15" t="s">
        <v>37</v>
      </c>
      <c r="W15" t="s">
        <v>39</v>
      </c>
      <c r="X15" t="s">
        <v>37</v>
      </c>
      <c r="Y15" t="s">
        <v>37</v>
      </c>
      <c r="Z15" t="s">
        <v>37</v>
      </c>
      <c r="AA15" t="s">
        <v>40</v>
      </c>
      <c r="AB15" t="s">
        <v>41</v>
      </c>
      <c r="AC15" t="s">
        <v>40</v>
      </c>
      <c r="AD15" t="s">
        <v>39</v>
      </c>
      <c r="AE15" t="s">
        <v>40</v>
      </c>
      <c r="AF15" t="s">
        <v>40</v>
      </c>
      <c r="AG15" t="s">
        <v>40</v>
      </c>
      <c r="AH15" t="s">
        <v>42</v>
      </c>
      <c r="AI15" s="26">
        <v>1</v>
      </c>
    </row>
    <row r="16" spans="1:35">
      <c r="A16" t="s">
        <v>84</v>
      </c>
      <c r="B16" t="s">
        <v>85</v>
      </c>
      <c r="C16" t="s">
        <v>86</v>
      </c>
      <c r="D16" t="s">
        <v>37</v>
      </c>
      <c r="E16" t="s">
        <v>64</v>
      </c>
      <c r="F16" t="s">
        <v>37</v>
      </c>
      <c r="G16" t="s">
        <v>38</v>
      </c>
      <c r="H16" t="s">
        <v>37</v>
      </c>
      <c r="I16" t="s">
        <v>39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39</v>
      </c>
      <c r="Q16" t="s">
        <v>37</v>
      </c>
      <c r="R16" t="s">
        <v>37</v>
      </c>
      <c r="S16" t="s">
        <v>37</v>
      </c>
      <c r="T16" t="s">
        <v>37</v>
      </c>
      <c r="U16" t="s">
        <v>38</v>
      </c>
      <c r="V16" t="s">
        <v>37</v>
      </c>
      <c r="W16" t="s">
        <v>39</v>
      </c>
      <c r="X16" t="s">
        <v>37</v>
      </c>
      <c r="Y16" t="s">
        <v>37</v>
      </c>
      <c r="Z16" t="s">
        <v>37</v>
      </c>
      <c r="AA16" t="s">
        <v>40</v>
      </c>
      <c r="AB16" t="s">
        <v>41</v>
      </c>
      <c r="AC16" t="s">
        <v>40</v>
      </c>
      <c r="AD16" t="s">
        <v>39</v>
      </c>
      <c r="AE16" t="s">
        <v>40</v>
      </c>
      <c r="AF16" t="s">
        <v>40</v>
      </c>
      <c r="AG16" t="s">
        <v>40</v>
      </c>
      <c r="AH16" t="s">
        <v>87</v>
      </c>
      <c r="AI16" s="26">
        <v>0.95</v>
      </c>
    </row>
    <row r="17" spans="1:35">
      <c r="A17" t="s">
        <v>88</v>
      </c>
      <c r="B17" t="s">
        <v>89</v>
      </c>
      <c r="C17" t="s">
        <v>90</v>
      </c>
      <c r="D17" t="s">
        <v>37</v>
      </c>
      <c r="E17" t="s">
        <v>37</v>
      </c>
      <c r="F17" t="s">
        <v>37</v>
      </c>
      <c r="G17" t="s">
        <v>38</v>
      </c>
      <c r="H17" t="s">
        <v>37</v>
      </c>
      <c r="I17" t="s">
        <v>39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39</v>
      </c>
      <c r="Q17" t="s">
        <v>37</v>
      </c>
      <c r="R17" t="s">
        <v>37</v>
      </c>
      <c r="S17" t="s">
        <v>37</v>
      </c>
      <c r="T17" t="s">
        <v>37</v>
      </c>
      <c r="U17" t="s">
        <v>38</v>
      </c>
      <c r="V17" t="s">
        <v>37</v>
      </c>
      <c r="W17" t="s">
        <v>39</v>
      </c>
      <c r="X17" t="s">
        <v>37</v>
      </c>
      <c r="Y17" t="s">
        <v>37</v>
      </c>
      <c r="Z17" t="s">
        <v>37</v>
      </c>
      <c r="AA17" t="s">
        <v>40</v>
      </c>
      <c r="AB17" t="s">
        <v>41</v>
      </c>
      <c r="AC17" t="s">
        <v>40</v>
      </c>
      <c r="AD17" t="s">
        <v>39</v>
      </c>
      <c r="AE17" t="s">
        <v>40</v>
      </c>
      <c r="AF17" t="s">
        <v>40</v>
      </c>
      <c r="AG17" t="s">
        <v>40</v>
      </c>
      <c r="AH17" t="s">
        <v>42</v>
      </c>
      <c r="AI17" s="26">
        <v>1</v>
      </c>
    </row>
    <row r="18" spans="1:35">
      <c r="A18" t="s">
        <v>91</v>
      </c>
      <c r="B18" t="s">
        <v>92</v>
      </c>
      <c r="C18" t="s">
        <v>93</v>
      </c>
      <c r="D18" t="s">
        <v>37</v>
      </c>
      <c r="E18" t="s">
        <v>37</v>
      </c>
      <c r="F18" t="s">
        <v>37</v>
      </c>
      <c r="G18" t="s">
        <v>38</v>
      </c>
      <c r="H18" t="s">
        <v>37</v>
      </c>
      <c r="I18" t="s">
        <v>39</v>
      </c>
      <c r="J18" t="s">
        <v>37</v>
      </c>
      <c r="K18" t="s">
        <v>37</v>
      </c>
      <c r="L18" t="s">
        <v>37</v>
      </c>
      <c r="M18" t="s">
        <v>37</v>
      </c>
      <c r="N18" t="s">
        <v>46</v>
      </c>
      <c r="O18" t="s">
        <v>37</v>
      </c>
      <c r="P18" t="s">
        <v>39</v>
      </c>
      <c r="Q18" t="s">
        <v>37</v>
      </c>
      <c r="R18" t="s">
        <v>37</v>
      </c>
      <c r="S18" t="s">
        <v>37</v>
      </c>
      <c r="T18" t="s">
        <v>37</v>
      </c>
      <c r="U18" t="s">
        <v>38</v>
      </c>
      <c r="V18" t="s">
        <v>37</v>
      </c>
      <c r="W18" t="s">
        <v>39</v>
      </c>
      <c r="X18" t="s">
        <v>37</v>
      </c>
      <c r="Y18" t="s">
        <v>37</v>
      </c>
      <c r="Z18" t="s">
        <v>37</v>
      </c>
      <c r="AA18" t="s">
        <v>40</v>
      </c>
      <c r="AB18" t="s">
        <v>41</v>
      </c>
      <c r="AC18" t="s">
        <v>40</v>
      </c>
      <c r="AD18" t="s">
        <v>39</v>
      </c>
      <c r="AE18" t="s">
        <v>40</v>
      </c>
      <c r="AF18" t="s">
        <v>40</v>
      </c>
      <c r="AG18" t="s">
        <v>40</v>
      </c>
      <c r="AH18" t="s">
        <v>87</v>
      </c>
      <c r="AI18" s="26">
        <v>0.95</v>
      </c>
    </row>
    <row r="19" spans="1:35">
      <c r="A19" t="s">
        <v>94</v>
      </c>
      <c r="B19" t="s">
        <v>95</v>
      </c>
      <c r="C19" t="s">
        <v>96</v>
      </c>
      <c r="D19" t="s">
        <v>37</v>
      </c>
      <c r="E19" t="s">
        <v>37</v>
      </c>
      <c r="F19" t="s">
        <v>37</v>
      </c>
      <c r="G19" t="s">
        <v>38</v>
      </c>
      <c r="H19" t="s">
        <v>37</v>
      </c>
      <c r="I19" t="s">
        <v>39</v>
      </c>
      <c r="J19" t="s">
        <v>37</v>
      </c>
      <c r="K19" t="s">
        <v>37</v>
      </c>
      <c r="L19" t="s">
        <v>37</v>
      </c>
      <c r="M19" t="s">
        <v>37</v>
      </c>
      <c r="N19" t="s">
        <v>97</v>
      </c>
      <c r="O19" t="s">
        <v>37</v>
      </c>
      <c r="P19" t="s">
        <v>39</v>
      </c>
      <c r="Q19" t="s">
        <v>37</v>
      </c>
      <c r="R19" t="s">
        <v>37</v>
      </c>
      <c r="S19" t="s">
        <v>37</v>
      </c>
      <c r="T19" t="s">
        <v>37</v>
      </c>
      <c r="U19" t="s">
        <v>38</v>
      </c>
      <c r="V19" t="s">
        <v>37</v>
      </c>
      <c r="W19" t="s">
        <v>39</v>
      </c>
      <c r="X19" t="s">
        <v>37</v>
      </c>
      <c r="Y19" t="s">
        <v>37</v>
      </c>
      <c r="Z19" t="s">
        <v>46</v>
      </c>
      <c r="AA19" t="s">
        <v>40</v>
      </c>
      <c r="AB19" t="s">
        <v>41</v>
      </c>
      <c r="AC19" t="s">
        <v>40</v>
      </c>
      <c r="AD19" t="s">
        <v>39</v>
      </c>
      <c r="AE19" t="s">
        <v>40</v>
      </c>
      <c r="AF19" t="s">
        <v>40</v>
      </c>
      <c r="AG19" t="s">
        <v>40</v>
      </c>
      <c r="AH19" t="s">
        <v>87</v>
      </c>
      <c r="AI19" s="26">
        <v>0.95</v>
      </c>
    </row>
    <row r="20" spans="1:35">
      <c r="A20" t="s">
        <v>98</v>
      </c>
      <c r="B20" t="s">
        <v>99</v>
      </c>
      <c r="C20" t="s">
        <v>100</v>
      </c>
      <c r="D20" t="s">
        <v>37</v>
      </c>
      <c r="E20" t="s">
        <v>37</v>
      </c>
      <c r="F20" t="s">
        <v>37</v>
      </c>
      <c r="G20" t="s">
        <v>38</v>
      </c>
      <c r="H20" t="s">
        <v>37</v>
      </c>
      <c r="I20" t="s">
        <v>39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39</v>
      </c>
      <c r="Q20" t="s">
        <v>37</v>
      </c>
      <c r="R20" t="s">
        <v>37</v>
      </c>
      <c r="S20" t="s">
        <v>37</v>
      </c>
      <c r="T20" t="s">
        <v>37</v>
      </c>
      <c r="U20" t="s">
        <v>38</v>
      </c>
      <c r="V20" t="s">
        <v>37</v>
      </c>
      <c r="W20" t="s">
        <v>39</v>
      </c>
      <c r="X20" t="s">
        <v>37</v>
      </c>
      <c r="Y20" t="s">
        <v>37</v>
      </c>
      <c r="Z20" t="s">
        <v>37</v>
      </c>
      <c r="AA20" t="s">
        <v>40</v>
      </c>
      <c r="AB20" t="s">
        <v>41</v>
      </c>
      <c r="AC20" t="s">
        <v>40</v>
      </c>
      <c r="AD20" t="s">
        <v>39</v>
      </c>
      <c r="AE20" t="s">
        <v>40</v>
      </c>
      <c r="AF20" t="s">
        <v>40</v>
      </c>
      <c r="AG20" t="s">
        <v>40</v>
      </c>
      <c r="AH20" t="s">
        <v>42</v>
      </c>
      <c r="AI20" s="26">
        <v>1</v>
      </c>
    </row>
    <row r="21" spans="1:35">
      <c r="A21" t="s">
        <v>101</v>
      </c>
      <c r="B21" t="s">
        <v>102</v>
      </c>
      <c r="C21" t="s">
        <v>103</v>
      </c>
      <c r="D21" t="s">
        <v>37</v>
      </c>
      <c r="E21" t="s">
        <v>37</v>
      </c>
      <c r="F21" t="s">
        <v>37</v>
      </c>
      <c r="G21" t="s">
        <v>38</v>
      </c>
      <c r="H21" t="s">
        <v>37</v>
      </c>
      <c r="I21" t="s">
        <v>39</v>
      </c>
      <c r="J21" t="s">
        <v>37</v>
      </c>
      <c r="K21" t="s">
        <v>37</v>
      </c>
      <c r="L21" t="s">
        <v>37</v>
      </c>
      <c r="M21" t="s">
        <v>37</v>
      </c>
      <c r="N21" t="s">
        <v>97</v>
      </c>
      <c r="O21" t="s">
        <v>37</v>
      </c>
      <c r="P21" t="s">
        <v>39</v>
      </c>
      <c r="Q21" t="s">
        <v>37</v>
      </c>
      <c r="R21" t="s">
        <v>37</v>
      </c>
      <c r="S21" t="s">
        <v>37</v>
      </c>
      <c r="T21" t="s">
        <v>37</v>
      </c>
      <c r="U21" t="s">
        <v>38</v>
      </c>
      <c r="V21" t="s">
        <v>37</v>
      </c>
      <c r="W21" t="s">
        <v>39</v>
      </c>
      <c r="X21" t="s">
        <v>37</v>
      </c>
      <c r="Y21" t="s">
        <v>37</v>
      </c>
      <c r="Z21" t="s">
        <v>37</v>
      </c>
      <c r="AA21" t="s">
        <v>40</v>
      </c>
      <c r="AB21" t="s">
        <v>41</v>
      </c>
      <c r="AC21" t="s">
        <v>40</v>
      </c>
      <c r="AD21" t="s">
        <v>39</v>
      </c>
      <c r="AE21" t="s">
        <v>40</v>
      </c>
      <c r="AF21" t="s">
        <v>40</v>
      </c>
      <c r="AG21" t="s">
        <v>40</v>
      </c>
      <c r="AH21" t="s">
        <v>42</v>
      </c>
      <c r="AI21" s="26">
        <v>1</v>
      </c>
    </row>
    <row r="22" spans="1:35">
      <c r="A22" t="s">
        <v>104</v>
      </c>
      <c r="B22" t="s">
        <v>105</v>
      </c>
      <c r="C22" t="s">
        <v>106</v>
      </c>
      <c r="D22" t="s">
        <v>37</v>
      </c>
      <c r="E22" t="s">
        <v>37</v>
      </c>
      <c r="F22" t="s">
        <v>37</v>
      </c>
      <c r="G22" t="s">
        <v>38</v>
      </c>
      <c r="H22" t="s">
        <v>37</v>
      </c>
      <c r="I22" t="s">
        <v>39</v>
      </c>
      <c r="J22" t="s">
        <v>37</v>
      </c>
      <c r="K22" t="s">
        <v>37</v>
      </c>
      <c r="L22" t="s">
        <v>37</v>
      </c>
      <c r="M22" t="s">
        <v>37</v>
      </c>
      <c r="N22" t="s">
        <v>97</v>
      </c>
      <c r="O22" t="s">
        <v>37</v>
      </c>
      <c r="P22" t="s">
        <v>39</v>
      </c>
      <c r="Q22" t="s">
        <v>37</v>
      </c>
      <c r="R22" t="s">
        <v>37</v>
      </c>
      <c r="S22" t="s">
        <v>37</v>
      </c>
      <c r="T22" t="s">
        <v>37</v>
      </c>
      <c r="U22" t="s">
        <v>38</v>
      </c>
      <c r="V22" t="s">
        <v>37</v>
      </c>
      <c r="W22" t="s">
        <v>39</v>
      </c>
      <c r="X22" t="s">
        <v>37</v>
      </c>
      <c r="Y22" t="s">
        <v>37</v>
      </c>
      <c r="Z22" t="s">
        <v>37</v>
      </c>
      <c r="AA22" t="s">
        <v>40</v>
      </c>
      <c r="AB22" t="s">
        <v>41</v>
      </c>
      <c r="AC22" t="s">
        <v>40</v>
      </c>
      <c r="AD22" t="s">
        <v>39</v>
      </c>
      <c r="AE22" t="s">
        <v>40</v>
      </c>
      <c r="AF22" t="s">
        <v>40</v>
      </c>
      <c r="AG22" t="s">
        <v>40</v>
      </c>
      <c r="AH22" t="s">
        <v>42</v>
      </c>
      <c r="AI22" s="26">
        <v>1</v>
      </c>
    </row>
    <row r="23" spans="1:35">
      <c r="A23" t="s">
        <v>107</v>
      </c>
      <c r="B23" t="s">
        <v>108</v>
      </c>
      <c r="C23" t="s">
        <v>109</v>
      </c>
      <c r="D23" t="s">
        <v>64</v>
      </c>
      <c r="E23" t="s">
        <v>37</v>
      </c>
      <c r="F23" t="s">
        <v>37</v>
      </c>
      <c r="G23" t="s">
        <v>38</v>
      </c>
      <c r="H23" t="s">
        <v>37</v>
      </c>
      <c r="I23" t="s">
        <v>39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39</v>
      </c>
      <c r="Q23" t="s">
        <v>37</v>
      </c>
      <c r="R23" t="s">
        <v>37</v>
      </c>
      <c r="S23" t="s">
        <v>37</v>
      </c>
      <c r="T23" t="s">
        <v>37</v>
      </c>
      <c r="U23" t="s">
        <v>38</v>
      </c>
      <c r="V23" t="s">
        <v>37</v>
      </c>
      <c r="W23" t="s">
        <v>39</v>
      </c>
      <c r="X23" t="s">
        <v>37</v>
      </c>
      <c r="Y23" t="s">
        <v>64</v>
      </c>
      <c r="Z23" t="s">
        <v>37</v>
      </c>
      <c r="AA23" t="s">
        <v>40</v>
      </c>
      <c r="AB23" t="s">
        <v>41</v>
      </c>
      <c r="AC23" t="s">
        <v>40</v>
      </c>
      <c r="AD23" t="s">
        <v>39</v>
      </c>
      <c r="AE23" t="s">
        <v>40</v>
      </c>
      <c r="AF23" t="s">
        <v>40</v>
      </c>
      <c r="AG23" t="s">
        <v>40</v>
      </c>
      <c r="AH23" t="s">
        <v>47</v>
      </c>
      <c r="AI23" s="26">
        <v>0.89</v>
      </c>
    </row>
    <row r="24" spans="1:35">
      <c r="A24" t="s">
        <v>110</v>
      </c>
      <c r="B24" t="s">
        <v>111</v>
      </c>
      <c r="C24" t="s">
        <v>112</v>
      </c>
      <c r="D24" t="s">
        <v>37</v>
      </c>
      <c r="E24" t="s">
        <v>37</v>
      </c>
      <c r="F24" t="s">
        <v>37</v>
      </c>
      <c r="G24" t="s">
        <v>38</v>
      </c>
      <c r="H24" t="s">
        <v>37</v>
      </c>
      <c r="I24" t="s">
        <v>39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39</v>
      </c>
      <c r="Q24" t="s">
        <v>37</v>
      </c>
      <c r="R24" t="s">
        <v>37</v>
      </c>
      <c r="S24" t="s">
        <v>37</v>
      </c>
      <c r="T24" t="s">
        <v>37</v>
      </c>
      <c r="U24" t="s">
        <v>38</v>
      </c>
      <c r="V24" t="s">
        <v>37</v>
      </c>
      <c r="W24" t="s">
        <v>39</v>
      </c>
      <c r="X24" t="s">
        <v>37</v>
      </c>
      <c r="Y24" t="s">
        <v>37</v>
      </c>
      <c r="Z24" t="s">
        <v>37</v>
      </c>
      <c r="AA24" t="s">
        <v>40</v>
      </c>
      <c r="AB24" t="s">
        <v>41</v>
      </c>
      <c r="AC24" t="s">
        <v>40</v>
      </c>
      <c r="AD24" t="s">
        <v>39</v>
      </c>
      <c r="AE24" t="s">
        <v>40</v>
      </c>
      <c r="AF24" t="s">
        <v>40</v>
      </c>
      <c r="AG24" t="s">
        <v>40</v>
      </c>
      <c r="AH24" t="s">
        <v>42</v>
      </c>
      <c r="AI24" s="26">
        <v>1</v>
      </c>
    </row>
    <row r="25" spans="1:35">
      <c r="A25" t="s">
        <v>113</v>
      </c>
      <c r="B25" t="s">
        <v>89</v>
      </c>
      <c r="C25" t="s">
        <v>114</v>
      </c>
      <c r="D25" t="s">
        <v>37</v>
      </c>
      <c r="E25" t="s">
        <v>37</v>
      </c>
      <c r="F25" t="s">
        <v>37</v>
      </c>
      <c r="G25" t="s">
        <v>38</v>
      </c>
      <c r="H25" t="s">
        <v>37</v>
      </c>
      <c r="I25" t="s">
        <v>39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39</v>
      </c>
      <c r="Q25" t="s">
        <v>37</v>
      </c>
      <c r="R25" t="s">
        <v>37</v>
      </c>
      <c r="S25" t="s">
        <v>37</v>
      </c>
      <c r="T25" t="s">
        <v>37</v>
      </c>
      <c r="U25" t="s">
        <v>38</v>
      </c>
      <c r="V25" t="s">
        <v>37</v>
      </c>
      <c r="W25" t="s">
        <v>39</v>
      </c>
      <c r="X25" t="s">
        <v>37</v>
      </c>
      <c r="Y25" t="s">
        <v>37</v>
      </c>
      <c r="Z25" t="s">
        <v>37</v>
      </c>
      <c r="AA25" t="s">
        <v>40</v>
      </c>
      <c r="AB25" t="s">
        <v>41</v>
      </c>
      <c r="AC25" t="s">
        <v>40</v>
      </c>
      <c r="AD25" t="s">
        <v>39</v>
      </c>
      <c r="AE25" t="s">
        <v>40</v>
      </c>
      <c r="AF25" t="s">
        <v>40</v>
      </c>
      <c r="AG25" t="s">
        <v>40</v>
      </c>
      <c r="AH25" t="s">
        <v>42</v>
      </c>
      <c r="AI25" s="26">
        <v>1</v>
      </c>
    </row>
    <row r="26" spans="1:35">
      <c r="A26" t="s">
        <v>115</v>
      </c>
      <c r="B26" t="s">
        <v>116</v>
      </c>
      <c r="C26" t="s">
        <v>117</v>
      </c>
      <c r="D26" t="s">
        <v>37</v>
      </c>
      <c r="E26" t="s">
        <v>37</v>
      </c>
      <c r="F26" t="s">
        <v>37</v>
      </c>
      <c r="G26" t="s">
        <v>38</v>
      </c>
      <c r="H26" t="s">
        <v>37</v>
      </c>
      <c r="I26" t="s">
        <v>39</v>
      </c>
      <c r="J26" t="s">
        <v>37</v>
      </c>
      <c r="K26" t="s">
        <v>37</v>
      </c>
      <c r="L26" t="s">
        <v>97</v>
      </c>
      <c r="M26" t="s">
        <v>37</v>
      </c>
      <c r="N26" t="s">
        <v>97</v>
      </c>
      <c r="O26" t="s">
        <v>37</v>
      </c>
      <c r="P26" t="s">
        <v>39</v>
      </c>
      <c r="Q26" t="s">
        <v>37</v>
      </c>
      <c r="R26" t="s">
        <v>37</v>
      </c>
      <c r="S26" t="s">
        <v>37</v>
      </c>
      <c r="T26" t="s">
        <v>37</v>
      </c>
      <c r="U26" t="s">
        <v>38</v>
      </c>
      <c r="V26" t="s">
        <v>37</v>
      </c>
      <c r="W26" t="s">
        <v>39</v>
      </c>
      <c r="X26" t="s">
        <v>37</v>
      </c>
      <c r="Y26" t="s">
        <v>37</v>
      </c>
      <c r="Z26" t="s">
        <v>37</v>
      </c>
      <c r="AA26" t="s">
        <v>40</v>
      </c>
      <c r="AB26" t="s">
        <v>41</v>
      </c>
      <c r="AC26" t="s">
        <v>40</v>
      </c>
      <c r="AD26" t="s">
        <v>39</v>
      </c>
      <c r="AE26" t="s">
        <v>40</v>
      </c>
      <c r="AF26" t="s">
        <v>40</v>
      </c>
      <c r="AG26" t="s">
        <v>40</v>
      </c>
      <c r="AH26" t="s">
        <v>42</v>
      </c>
      <c r="AI26" s="26">
        <v>1</v>
      </c>
    </row>
    <row r="27" spans="1:35">
      <c r="A27" t="s">
        <v>118</v>
      </c>
      <c r="B27" t="s">
        <v>119</v>
      </c>
      <c r="C27" t="s">
        <v>120</v>
      </c>
      <c r="D27" t="s">
        <v>37</v>
      </c>
      <c r="E27" t="s">
        <v>37</v>
      </c>
      <c r="F27" t="s">
        <v>37</v>
      </c>
      <c r="G27" t="s">
        <v>38</v>
      </c>
      <c r="H27" t="s">
        <v>37</v>
      </c>
      <c r="I27" t="s">
        <v>39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39</v>
      </c>
      <c r="Q27" t="s">
        <v>37</v>
      </c>
      <c r="R27" t="s">
        <v>37</v>
      </c>
      <c r="S27" t="s">
        <v>37</v>
      </c>
      <c r="T27" t="s">
        <v>37</v>
      </c>
      <c r="U27" t="s">
        <v>38</v>
      </c>
      <c r="V27" t="s">
        <v>37</v>
      </c>
      <c r="W27" t="s">
        <v>39</v>
      </c>
      <c r="X27" t="s">
        <v>37</v>
      </c>
      <c r="Y27" t="s">
        <v>37</v>
      </c>
      <c r="Z27" t="s">
        <v>37</v>
      </c>
      <c r="AA27" t="s">
        <v>40</v>
      </c>
      <c r="AB27" t="s">
        <v>40</v>
      </c>
      <c r="AC27" t="s">
        <v>40</v>
      </c>
      <c r="AD27" t="s">
        <v>39</v>
      </c>
      <c r="AE27" t="s">
        <v>40</v>
      </c>
      <c r="AF27" t="s">
        <v>40</v>
      </c>
      <c r="AG27" t="s">
        <v>40</v>
      </c>
      <c r="AH27" t="s">
        <v>42</v>
      </c>
      <c r="AI27" s="26">
        <v>1</v>
      </c>
    </row>
    <row r="28" spans="1:35">
      <c r="A28" t="s">
        <v>121</v>
      </c>
      <c r="B28" t="s">
        <v>122</v>
      </c>
      <c r="C28" t="s">
        <v>123</v>
      </c>
      <c r="D28" t="s">
        <v>37</v>
      </c>
      <c r="E28" t="s">
        <v>37</v>
      </c>
      <c r="F28" t="s">
        <v>37</v>
      </c>
      <c r="G28" t="s">
        <v>38</v>
      </c>
      <c r="H28" t="s">
        <v>37</v>
      </c>
      <c r="I28" t="s">
        <v>39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39</v>
      </c>
      <c r="Q28" t="s">
        <v>37</v>
      </c>
      <c r="R28" t="s">
        <v>37</v>
      </c>
      <c r="S28" t="s">
        <v>37</v>
      </c>
      <c r="T28" t="s">
        <v>37</v>
      </c>
      <c r="U28" t="s">
        <v>38</v>
      </c>
      <c r="V28" t="s">
        <v>37</v>
      </c>
      <c r="W28" t="s">
        <v>39</v>
      </c>
      <c r="X28" t="s">
        <v>37</v>
      </c>
      <c r="Y28" t="s">
        <v>37</v>
      </c>
      <c r="Z28" t="s">
        <v>37</v>
      </c>
      <c r="AA28" t="s">
        <v>40</v>
      </c>
      <c r="AB28" t="s">
        <v>41</v>
      </c>
      <c r="AC28" t="s">
        <v>40</v>
      </c>
      <c r="AD28" t="s">
        <v>39</v>
      </c>
      <c r="AE28" t="s">
        <v>40</v>
      </c>
      <c r="AF28" t="s">
        <v>40</v>
      </c>
      <c r="AG28" t="s">
        <v>40</v>
      </c>
      <c r="AH28" t="s">
        <v>42</v>
      </c>
      <c r="AI28" s="26">
        <v>1</v>
      </c>
    </row>
    <row r="29" spans="1:35">
      <c r="A29" t="s">
        <v>124</v>
      </c>
      <c r="B29" t="s">
        <v>125</v>
      </c>
      <c r="C29" t="s">
        <v>126</v>
      </c>
      <c r="D29" t="s">
        <v>37</v>
      </c>
      <c r="E29" t="s">
        <v>37</v>
      </c>
      <c r="F29" t="s">
        <v>37</v>
      </c>
      <c r="G29" t="s">
        <v>38</v>
      </c>
      <c r="H29" t="s">
        <v>37</v>
      </c>
      <c r="I29" t="s">
        <v>39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39</v>
      </c>
      <c r="Q29" t="s">
        <v>37</v>
      </c>
      <c r="R29" t="s">
        <v>37</v>
      </c>
      <c r="S29" t="s">
        <v>37</v>
      </c>
      <c r="T29" t="s">
        <v>37</v>
      </c>
      <c r="U29" t="s">
        <v>38</v>
      </c>
      <c r="V29" t="s">
        <v>37</v>
      </c>
      <c r="W29" t="s">
        <v>39</v>
      </c>
      <c r="X29" t="s">
        <v>37</v>
      </c>
      <c r="Y29" t="s">
        <v>37</v>
      </c>
      <c r="Z29" t="s">
        <v>37</v>
      </c>
      <c r="AA29" t="s">
        <v>40</v>
      </c>
      <c r="AB29" t="s">
        <v>41</v>
      </c>
      <c r="AC29" t="s">
        <v>40</v>
      </c>
      <c r="AD29" t="s">
        <v>39</v>
      </c>
      <c r="AE29" t="s">
        <v>40</v>
      </c>
      <c r="AF29" t="s">
        <v>40</v>
      </c>
      <c r="AG29" t="s">
        <v>40</v>
      </c>
      <c r="AH29" t="s">
        <v>42</v>
      </c>
      <c r="AI29" s="26">
        <v>1</v>
      </c>
    </row>
    <row r="30" spans="1:35">
      <c r="A30" t="s">
        <v>127</v>
      </c>
      <c r="B30" t="s">
        <v>128</v>
      </c>
      <c r="C30" t="s">
        <v>129</v>
      </c>
      <c r="D30" t="s">
        <v>46</v>
      </c>
      <c r="E30" t="s">
        <v>46</v>
      </c>
      <c r="F30" t="s">
        <v>46</v>
      </c>
      <c r="G30" t="s">
        <v>38</v>
      </c>
      <c r="H30" t="s">
        <v>46</v>
      </c>
      <c r="I30" t="s">
        <v>39</v>
      </c>
      <c r="J30" t="s">
        <v>46</v>
      </c>
      <c r="K30" t="s">
        <v>46</v>
      </c>
      <c r="L30" t="s">
        <v>37</v>
      </c>
      <c r="M30" t="s">
        <v>46</v>
      </c>
      <c r="N30" t="s">
        <v>46</v>
      </c>
      <c r="O30" t="s">
        <v>46</v>
      </c>
      <c r="P30" t="s">
        <v>39</v>
      </c>
      <c r="Q30" t="s">
        <v>46</v>
      </c>
      <c r="R30" t="s">
        <v>46</v>
      </c>
      <c r="S30" t="s">
        <v>46</v>
      </c>
      <c r="T30" t="s">
        <v>46</v>
      </c>
      <c r="U30" t="s">
        <v>38</v>
      </c>
      <c r="V30" t="s">
        <v>46</v>
      </c>
      <c r="W30" t="s">
        <v>39</v>
      </c>
      <c r="X30" t="s">
        <v>46</v>
      </c>
      <c r="Y30" t="s">
        <v>46</v>
      </c>
      <c r="Z30" t="s">
        <v>46</v>
      </c>
      <c r="AA30" t="s">
        <v>40</v>
      </c>
      <c r="AB30" t="s">
        <v>41</v>
      </c>
      <c r="AC30" t="s">
        <v>40</v>
      </c>
      <c r="AD30" t="s">
        <v>39</v>
      </c>
      <c r="AE30" t="s">
        <v>40</v>
      </c>
      <c r="AF30" t="s">
        <v>40</v>
      </c>
      <c r="AG30" t="s">
        <v>40</v>
      </c>
      <c r="AH30" t="s">
        <v>130</v>
      </c>
      <c r="AI30" s="26">
        <v>0.11</v>
      </c>
    </row>
    <row r="31" spans="1:35" s="5" customFormat="1">
      <c r="A31" s="5" t="s">
        <v>40</v>
      </c>
      <c r="B31" s="5" t="s">
        <v>40</v>
      </c>
      <c r="C31" s="5" t="s">
        <v>33</v>
      </c>
      <c r="D31" s="5" t="s">
        <v>131</v>
      </c>
      <c r="E31" s="5" t="s">
        <v>47</v>
      </c>
      <c r="F31" s="5" t="s">
        <v>131</v>
      </c>
      <c r="G31" s="5" t="s">
        <v>40</v>
      </c>
      <c r="H31" s="5" t="s">
        <v>131</v>
      </c>
      <c r="I31" s="5" t="s">
        <v>40</v>
      </c>
      <c r="J31" s="5" t="s">
        <v>131</v>
      </c>
      <c r="K31" s="5" t="s">
        <v>131</v>
      </c>
      <c r="L31" s="5" t="s">
        <v>131</v>
      </c>
      <c r="M31" s="5" t="s">
        <v>47</v>
      </c>
      <c r="N31" s="5" t="s">
        <v>132</v>
      </c>
      <c r="O31" s="5" t="s">
        <v>131</v>
      </c>
      <c r="P31" s="5" t="s">
        <v>40</v>
      </c>
      <c r="Q31" s="5" t="s">
        <v>131</v>
      </c>
      <c r="R31" s="5" t="s">
        <v>133</v>
      </c>
      <c r="S31" s="5" t="s">
        <v>131</v>
      </c>
      <c r="T31" s="5" t="s">
        <v>131</v>
      </c>
      <c r="U31" s="5" t="s">
        <v>40</v>
      </c>
      <c r="V31" s="5" t="s">
        <v>131</v>
      </c>
      <c r="W31" s="5" t="s">
        <v>40</v>
      </c>
      <c r="X31" s="5" t="s">
        <v>133</v>
      </c>
      <c r="Y31" s="5" t="s">
        <v>47</v>
      </c>
      <c r="Z31" s="5" t="s">
        <v>134</v>
      </c>
      <c r="AA31" s="5" t="s">
        <v>40</v>
      </c>
      <c r="AB31" s="5" t="s">
        <v>42</v>
      </c>
      <c r="AC31" s="5" t="s">
        <v>40</v>
      </c>
      <c r="AD31" s="5" t="s">
        <v>40</v>
      </c>
      <c r="AE31" s="5" t="s">
        <v>40</v>
      </c>
      <c r="AF31" s="5" t="s">
        <v>40</v>
      </c>
      <c r="AG31" s="5" t="s">
        <v>40</v>
      </c>
      <c r="AH31" s="5" t="s">
        <v>40</v>
      </c>
      <c r="AI31" s="29">
        <f>+AVERAGE(AI3:AI30)</f>
        <v>0.92107142857142854</v>
      </c>
    </row>
  </sheetData>
  <autoFilter ref="A2:AH31"/>
  <mergeCells count="1">
    <mergeCell ref="A1:AH1"/>
  </mergeCells>
  <pageMargins left="0.7" right="0.7" top="0.75" bottom="0.75" header="0.3" footer="0.3"/>
  <pageSetup orientation="portrait" r:id="rId1"/>
  <ignoredErrors>
    <ignoredError sqref="A2:AH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30"/>
  <sheetViews>
    <sheetView workbookViewId="0">
      <pane xSplit="3" ySplit="1" topLeftCell="O7" activePane="bottomRight" state="frozen"/>
      <selection pane="topRight" activeCell="D1" sqref="D1"/>
      <selection pane="bottomLeft" activeCell="A2" sqref="A2"/>
      <selection pane="bottomRight" activeCell="O30" sqref="O30"/>
    </sheetView>
  </sheetViews>
  <sheetFormatPr defaultRowHeight="15.75"/>
  <cols>
    <col min="1" max="1" width="8.25" bestFit="1" customWidth="1"/>
    <col min="2" max="2" width="12.75" bestFit="1" customWidth="1"/>
    <col min="3" max="3" width="14" bestFit="1" customWidth="1"/>
    <col min="4" max="6" width="4.25" bestFit="1" customWidth="1"/>
    <col min="7" max="7" width="2.125" bestFit="1" customWidth="1"/>
    <col min="8" max="20" width="4.25" bestFit="1" customWidth="1"/>
    <col min="21" max="21" width="2.875" bestFit="1" customWidth="1"/>
    <col min="22" max="26" width="4.25" bestFit="1" customWidth="1"/>
    <col min="27" max="27" width="2.875" bestFit="1" customWidth="1"/>
    <col min="28" max="29" width="5.25" bestFit="1" customWidth="1"/>
    <col min="30" max="30" width="4.25" bestFit="1" customWidth="1"/>
    <col min="31" max="33" width="2.875" bestFit="1" customWidth="1"/>
    <col min="34" max="34" width="5.25" style="31" bestFit="1" customWidth="1"/>
    <col min="35" max="35" width="9" style="28"/>
  </cols>
  <sheetData>
    <row r="1" spans="1:35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30" t="s">
        <v>33</v>
      </c>
      <c r="AI1" s="32" t="s">
        <v>154</v>
      </c>
    </row>
    <row r="2" spans="1:35">
      <c r="A2" t="s">
        <v>34</v>
      </c>
      <c r="B2" t="s">
        <v>35</v>
      </c>
      <c r="C2" t="s">
        <v>36</v>
      </c>
      <c r="D2" t="s">
        <v>37</v>
      </c>
      <c r="E2" t="s">
        <v>37</v>
      </c>
      <c r="F2" t="s">
        <v>37</v>
      </c>
      <c r="G2" t="s">
        <v>38</v>
      </c>
      <c r="H2" t="s">
        <v>37</v>
      </c>
      <c r="I2" t="s">
        <v>39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39</v>
      </c>
      <c r="Q2" t="s">
        <v>37</v>
      </c>
      <c r="R2" t="s">
        <v>37</v>
      </c>
      <c r="S2" t="s">
        <v>37</v>
      </c>
      <c r="T2" t="s">
        <v>37</v>
      </c>
      <c r="U2" t="s">
        <v>38</v>
      </c>
      <c r="V2" t="s">
        <v>37</v>
      </c>
      <c r="W2" t="s">
        <v>39</v>
      </c>
      <c r="X2" t="s">
        <v>37</v>
      </c>
      <c r="Y2" t="s">
        <v>37</v>
      </c>
      <c r="Z2" t="s">
        <v>37</v>
      </c>
      <c r="AA2" t="s">
        <v>40</v>
      </c>
      <c r="AB2" t="s">
        <v>41</v>
      </c>
      <c r="AC2" t="s">
        <v>37</v>
      </c>
      <c r="AD2" t="s">
        <v>39</v>
      </c>
      <c r="AE2" t="s">
        <v>40</v>
      </c>
      <c r="AF2" t="s">
        <v>40</v>
      </c>
      <c r="AG2" t="s">
        <v>40</v>
      </c>
      <c r="AH2" s="31" t="s">
        <v>42</v>
      </c>
      <c r="AI2" s="27">
        <v>1</v>
      </c>
    </row>
    <row r="3" spans="1:35">
      <c r="A3" t="s">
        <v>43</v>
      </c>
      <c r="B3" t="s">
        <v>44</v>
      </c>
      <c r="C3" t="s">
        <v>45</v>
      </c>
      <c r="D3" t="s">
        <v>37</v>
      </c>
      <c r="E3" t="s">
        <v>37</v>
      </c>
      <c r="F3" t="s">
        <v>37</v>
      </c>
      <c r="G3" t="s">
        <v>38</v>
      </c>
      <c r="H3" t="s">
        <v>37</v>
      </c>
      <c r="I3" t="s">
        <v>39</v>
      </c>
      <c r="J3" t="s">
        <v>37</v>
      </c>
      <c r="K3" t="s">
        <v>37</v>
      </c>
      <c r="L3" t="s">
        <v>37</v>
      </c>
      <c r="M3" t="s">
        <v>46</v>
      </c>
      <c r="N3" t="s">
        <v>37</v>
      </c>
      <c r="O3" t="s">
        <v>46</v>
      </c>
      <c r="P3" t="s">
        <v>39</v>
      </c>
      <c r="Q3" t="s">
        <v>37</v>
      </c>
      <c r="R3" t="s">
        <v>37</v>
      </c>
      <c r="S3" t="s">
        <v>37</v>
      </c>
      <c r="T3" t="s">
        <v>37</v>
      </c>
      <c r="U3" t="s">
        <v>38</v>
      </c>
      <c r="V3" t="s">
        <v>37</v>
      </c>
      <c r="W3" t="s">
        <v>39</v>
      </c>
      <c r="X3" t="s">
        <v>37</v>
      </c>
      <c r="Y3" t="s">
        <v>37</v>
      </c>
      <c r="Z3" t="s">
        <v>37</v>
      </c>
      <c r="AA3" t="s">
        <v>40</v>
      </c>
      <c r="AB3" t="s">
        <v>41</v>
      </c>
      <c r="AC3" t="s">
        <v>37</v>
      </c>
      <c r="AD3" t="s">
        <v>39</v>
      </c>
      <c r="AE3" t="s">
        <v>40</v>
      </c>
      <c r="AF3" t="s">
        <v>40</v>
      </c>
      <c r="AG3" t="s">
        <v>40</v>
      </c>
      <c r="AH3" s="31" t="s">
        <v>151</v>
      </c>
      <c r="AI3" s="27">
        <v>0.9</v>
      </c>
    </row>
    <row r="4" spans="1:35">
      <c r="A4" t="s">
        <v>48</v>
      </c>
      <c r="B4" t="s">
        <v>49</v>
      </c>
      <c r="C4" t="s">
        <v>50</v>
      </c>
      <c r="D4" t="s">
        <v>37</v>
      </c>
      <c r="E4" t="s">
        <v>37</v>
      </c>
      <c r="F4" t="s">
        <v>46</v>
      </c>
      <c r="G4" t="s">
        <v>38</v>
      </c>
      <c r="H4" t="s">
        <v>46</v>
      </c>
      <c r="I4" t="s">
        <v>39</v>
      </c>
      <c r="J4" t="s">
        <v>46</v>
      </c>
      <c r="K4" t="s">
        <v>46</v>
      </c>
      <c r="L4" t="s">
        <v>46</v>
      </c>
      <c r="M4" t="s">
        <v>37</v>
      </c>
      <c r="N4" t="s">
        <v>46</v>
      </c>
      <c r="O4" t="s">
        <v>37</v>
      </c>
      <c r="P4" t="s">
        <v>39</v>
      </c>
      <c r="Q4" t="s">
        <v>46</v>
      </c>
      <c r="R4" t="s">
        <v>37</v>
      </c>
      <c r="S4" t="s">
        <v>46</v>
      </c>
      <c r="T4" t="s">
        <v>46</v>
      </c>
      <c r="U4" t="s">
        <v>38</v>
      </c>
      <c r="V4" t="s">
        <v>46</v>
      </c>
      <c r="W4" t="s">
        <v>39</v>
      </c>
      <c r="X4" t="s">
        <v>37</v>
      </c>
      <c r="Y4" t="s">
        <v>46</v>
      </c>
      <c r="Z4" t="s">
        <v>46</v>
      </c>
      <c r="AA4" t="s">
        <v>40</v>
      </c>
      <c r="AB4" t="s">
        <v>41</v>
      </c>
      <c r="AC4" t="s">
        <v>41</v>
      </c>
      <c r="AD4" t="s">
        <v>39</v>
      </c>
      <c r="AE4" t="s">
        <v>40</v>
      </c>
      <c r="AF4" t="s">
        <v>40</v>
      </c>
      <c r="AG4" t="s">
        <v>40</v>
      </c>
      <c r="AH4" s="31" t="s">
        <v>152</v>
      </c>
      <c r="AI4" s="27">
        <v>0.4</v>
      </c>
    </row>
    <row r="5" spans="1:35">
      <c r="A5" t="s">
        <v>52</v>
      </c>
      <c r="B5" t="s">
        <v>53</v>
      </c>
      <c r="C5" t="s">
        <v>54</v>
      </c>
      <c r="D5" t="s">
        <v>37</v>
      </c>
      <c r="E5" t="s">
        <v>37</v>
      </c>
      <c r="F5" t="s">
        <v>37</v>
      </c>
      <c r="G5" t="s">
        <v>38</v>
      </c>
      <c r="H5" t="s">
        <v>37</v>
      </c>
      <c r="I5" t="s">
        <v>39</v>
      </c>
      <c r="J5" t="s">
        <v>37</v>
      </c>
      <c r="K5" t="s">
        <v>37</v>
      </c>
      <c r="L5" t="s">
        <v>37</v>
      </c>
      <c r="M5" t="s">
        <v>37</v>
      </c>
      <c r="N5" t="s">
        <v>46</v>
      </c>
      <c r="O5" t="s">
        <v>37</v>
      </c>
      <c r="P5" t="s">
        <v>39</v>
      </c>
      <c r="Q5" t="s">
        <v>37</v>
      </c>
      <c r="R5" t="s">
        <v>37</v>
      </c>
      <c r="S5" t="s">
        <v>37</v>
      </c>
      <c r="T5" t="s">
        <v>37</v>
      </c>
      <c r="U5" t="s">
        <v>38</v>
      </c>
      <c r="V5" t="s">
        <v>37</v>
      </c>
      <c r="W5" t="s">
        <v>39</v>
      </c>
      <c r="X5" t="s">
        <v>37</v>
      </c>
      <c r="Y5" t="s">
        <v>37</v>
      </c>
      <c r="Z5" t="s">
        <v>46</v>
      </c>
      <c r="AA5" t="s">
        <v>40</v>
      </c>
      <c r="AB5" t="s">
        <v>41</v>
      </c>
      <c r="AC5" t="s">
        <v>41</v>
      </c>
      <c r="AD5" t="s">
        <v>39</v>
      </c>
      <c r="AE5" t="s">
        <v>40</v>
      </c>
      <c r="AF5" t="s">
        <v>40</v>
      </c>
      <c r="AG5" t="s">
        <v>40</v>
      </c>
      <c r="AH5" s="31" t="s">
        <v>151</v>
      </c>
      <c r="AI5" s="27">
        <v>0.9</v>
      </c>
    </row>
    <row r="6" spans="1:35">
      <c r="A6" t="s">
        <v>55</v>
      </c>
      <c r="B6" t="s">
        <v>56</v>
      </c>
      <c r="C6" t="s">
        <v>57</v>
      </c>
      <c r="D6" t="s">
        <v>37</v>
      </c>
      <c r="E6" t="s">
        <v>37</v>
      </c>
      <c r="F6" t="s">
        <v>37</v>
      </c>
      <c r="G6" t="s">
        <v>38</v>
      </c>
      <c r="H6" t="s">
        <v>37</v>
      </c>
      <c r="I6" t="s">
        <v>39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39</v>
      </c>
      <c r="Q6" t="s">
        <v>37</v>
      </c>
      <c r="R6" t="s">
        <v>37</v>
      </c>
      <c r="S6" t="s">
        <v>37</v>
      </c>
      <c r="T6" t="s">
        <v>37</v>
      </c>
      <c r="U6" t="s">
        <v>38</v>
      </c>
      <c r="V6" t="s">
        <v>37</v>
      </c>
      <c r="W6" t="s">
        <v>39</v>
      </c>
      <c r="X6" t="s">
        <v>37</v>
      </c>
      <c r="Y6" t="s">
        <v>37</v>
      </c>
      <c r="Z6" t="s">
        <v>37</v>
      </c>
      <c r="AA6" t="s">
        <v>40</v>
      </c>
      <c r="AB6" t="s">
        <v>41</v>
      </c>
      <c r="AC6" t="s">
        <v>41</v>
      </c>
      <c r="AD6" t="s">
        <v>39</v>
      </c>
      <c r="AE6" t="s">
        <v>40</v>
      </c>
      <c r="AF6" t="s">
        <v>40</v>
      </c>
      <c r="AG6" t="s">
        <v>40</v>
      </c>
      <c r="AH6" s="31" t="s">
        <v>42</v>
      </c>
      <c r="AI6" s="27">
        <v>1</v>
      </c>
    </row>
    <row r="7" spans="1:35">
      <c r="A7" t="s">
        <v>58</v>
      </c>
      <c r="B7" t="s">
        <v>59</v>
      </c>
      <c r="C7" t="s">
        <v>60</v>
      </c>
      <c r="D7" t="s">
        <v>37</v>
      </c>
      <c r="E7" t="s">
        <v>37</v>
      </c>
      <c r="F7" t="s">
        <v>37</v>
      </c>
      <c r="G7" t="s">
        <v>38</v>
      </c>
      <c r="H7" t="s">
        <v>37</v>
      </c>
      <c r="I7" t="s">
        <v>39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39</v>
      </c>
      <c r="Q7" t="s">
        <v>37</v>
      </c>
      <c r="R7" t="s">
        <v>37</v>
      </c>
      <c r="S7" t="s">
        <v>37</v>
      </c>
      <c r="T7" t="s">
        <v>37</v>
      </c>
      <c r="U7" t="s">
        <v>38</v>
      </c>
      <c r="V7" t="s">
        <v>37</v>
      </c>
      <c r="W7" t="s">
        <v>39</v>
      </c>
      <c r="X7" t="s">
        <v>37</v>
      </c>
      <c r="Y7" t="s">
        <v>37</v>
      </c>
      <c r="Z7" t="s">
        <v>37</v>
      </c>
      <c r="AA7" t="s">
        <v>40</v>
      </c>
      <c r="AB7" t="s">
        <v>41</v>
      </c>
      <c r="AC7" t="s">
        <v>40</v>
      </c>
      <c r="AD7" t="s">
        <v>39</v>
      </c>
      <c r="AE7" t="s">
        <v>40</v>
      </c>
      <c r="AF7" t="s">
        <v>40</v>
      </c>
      <c r="AG7" t="s">
        <v>40</v>
      </c>
      <c r="AH7" s="31" t="s">
        <v>42</v>
      </c>
      <c r="AI7" s="27">
        <v>1</v>
      </c>
    </row>
    <row r="8" spans="1:35">
      <c r="A8" t="s">
        <v>61</v>
      </c>
      <c r="B8" t="s">
        <v>62</v>
      </c>
      <c r="C8" t="s">
        <v>63</v>
      </c>
      <c r="D8" t="s">
        <v>37</v>
      </c>
      <c r="E8" t="s">
        <v>46</v>
      </c>
      <c r="F8" t="s">
        <v>37</v>
      </c>
      <c r="G8" t="s">
        <v>38</v>
      </c>
      <c r="H8" t="s">
        <v>37</v>
      </c>
      <c r="I8" t="s">
        <v>39</v>
      </c>
      <c r="J8" t="s">
        <v>37</v>
      </c>
      <c r="K8" t="s">
        <v>37</v>
      </c>
      <c r="L8" t="s">
        <v>64</v>
      </c>
      <c r="M8" t="s">
        <v>64</v>
      </c>
      <c r="N8" t="s">
        <v>37</v>
      </c>
      <c r="O8" t="s">
        <v>37</v>
      </c>
      <c r="P8" t="s">
        <v>39</v>
      </c>
      <c r="Q8" t="s">
        <v>37</v>
      </c>
      <c r="R8" t="s">
        <v>37</v>
      </c>
      <c r="S8" t="s">
        <v>37</v>
      </c>
      <c r="T8" t="s">
        <v>37</v>
      </c>
      <c r="U8" t="s">
        <v>38</v>
      </c>
      <c r="V8" t="s">
        <v>37</v>
      </c>
      <c r="W8" t="s">
        <v>39</v>
      </c>
      <c r="X8" t="s">
        <v>37</v>
      </c>
      <c r="Y8" t="s">
        <v>37</v>
      </c>
      <c r="Z8" t="s">
        <v>46</v>
      </c>
      <c r="AA8" t="s">
        <v>40</v>
      </c>
      <c r="AB8" t="s">
        <v>41</v>
      </c>
      <c r="AC8" t="s">
        <v>41</v>
      </c>
      <c r="AD8" t="s">
        <v>39</v>
      </c>
      <c r="AE8" t="s">
        <v>40</v>
      </c>
      <c r="AF8" t="s">
        <v>40</v>
      </c>
      <c r="AG8" t="s">
        <v>40</v>
      </c>
      <c r="AH8" s="31" t="s">
        <v>153</v>
      </c>
      <c r="AI8" s="27">
        <v>0.8</v>
      </c>
    </row>
    <row r="9" spans="1:35">
      <c r="A9" t="s">
        <v>66</v>
      </c>
      <c r="B9" t="s">
        <v>67</v>
      </c>
      <c r="C9" t="s">
        <v>68</v>
      </c>
      <c r="D9" t="s">
        <v>37</v>
      </c>
      <c r="E9" t="s">
        <v>37</v>
      </c>
      <c r="F9" t="s">
        <v>37</v>
      </c>
      <c r="G9" t="s">
        <v>38</v>
      </c>
      <c r="H9" t="s">
        <v>37</v>
      </c>
      <c r="I9" t="s">
        <v>39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39</v>
      </c>
      <c r="Q9" t="s">
        <v>37</v>
      </c>
      <c r="R9" t="s">
        <v>37</v>
      </c>
      <c r="S9" t="s">
        <v>37</v>
      </c>
      <c r="T9" t="s">
        <v>37</v>
      </c>
      <c r="U9" t="s">
        <v>38</v>
      </c>
      <c r="V9" t="s">
        <v>37</v>
      </c>
      <c r="W9" t="s">
        <v>39</v>
      </c>
      <c r="X9" t="s">
        <v>37</v>
      </c>
      <c r="Y9" t="s">
        <v>37</v>
      </c>
      <c r="Z9" t="s">
        <v>37</v>
      </c>
      <c r="AA9" t="s">
        <v>40</v>
      </c>
      <c r="AB9" t="s">
        <v>41</v>
      </c>
      <c r="AC9" t="s">
        <v>41</v>
      </c>
      <c r="AD9" t="s">
        <v>39</v>
      </c>
      <c r="AE9" t="s">
        <v>40</v>
      </c>
      <c r="AF9" t="s">
        <v>40</v>
      </c>
      <c r="AG9" t="s">
        <v>40</v>
      </c>
      <c r="AH9" s="31" t="s">
        <v>42</v>
      </c>
      <c r="AI9" s="27">
        <v>1</v>
      </c>
    </row>
    <row r="10" spans="1:35">
      <c r="A10" t="s">
        <v>69</v>
      </c>
      <c r="B10" t="s">
        <v>70</v>
      </c>
      <c r="C10" t="s">
        <v>71</v>
      </c>
      <c r="D10" t="s">
        <v>37</v>
      </c>
      <c r="E10" t="s">
        <v>37</v>
      </c>
      <c r="F10" t="s">
        <v>37</v>
      </c>
      <c r="G10" t="s">
        <v>38</v>
      </c>
      <c r="H10" t="s">
        <v>37</v>
      </c>
      <c r="I10" t="s">
        <v>39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39</v>
      </c>
      <c r="Q10" t="s">
        <v>37</v>
      </c>
      <c r="R10" t="s">
        <v>37</v>
      </c>
      <c r="S10" t="s">
        <v>37</v>
      </c>
      <c r="T10" t="s">
        <v>37</v>
      </c>
      <c r="U10" t="s">
        <v>38</v>
      </c>
      <c r="V10" t="s">
        <v>37</v>
      </c>
      <c r="W10" t="s">
        <v>39</v>
      </c>
      <c r="X10" t="s">
        <v>37</v>
      </c>
      <c r="Y10" t="s">
        <v>37</v>
      </c>
      <c r="Z10" t="s">
        <v>37</v>
      </c>
      <c r="AA10" t="s">
        <v>40</v>
      </c>
      <c r="AB10" t="s">
        <v>41</v>
      </c>
      <c r="AC10" t="s">
        <v>41</v>
      </c>
      <c r="AD10" t="s">
        <v>39</v>
      </c>
      <c r="AE10" t="s">
        <v>40</v>
      </c>
      <c r="AF10" t="s">
        <v>40</v>
      </c>
      <c r="AG10" t="s">
        <v>40</v>
      </c>
      <c r="AH10" s="31" t="s">
        <v>42</v>
      </c>
      <c r="AI10" s="27">
        <v>1</v>
      </c>
    </row>
    <row r="11" spans="1:35">
      <c r="A11" t="s">
        <v>72</v>
      </c>
      <c r="B11" t="s">
        <v>73</v>
      </c>
      <c r="C11" t="s">
        <v>74</v>
      </c>
      <c r="D11" t="s">
        <v>37</v>
      </c>
      <c r="E11" t="s">
        <v>37</v>
      </c>
      <c r="F11" t="s">
        <v>37</v>
      </c>
      <c r="G11" t="s">
        <v>38</v>
      </c>
      <c r="H11" t="s">
        <v>37</v>
      </c>
      <c r="I11" t="s">
        <v>39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39</v>
      </c>
      <c r="Q11" t="s">
        <v>37</v>
      </c>
      <c r="R11" t="s">
        <v>37</v>
      </c>
      <c r="S11" t="s">
        <v>37</v>
      </c>
      <c r="T11" t="s">
        <v>37</v>
      </c>
      <c r="U11" t="s">
        <v>38</v>
      </c>
      <c r="V11" t="s">
        <v>37</v>
      </c>
      <c r="W11" t="s">
        <v>39</v>
      </c>
      <c r="X11" t="s">
        <v>37</v>
      </c>
      <c r="Y11" t="s">
        <v>37</v>
      </c>
      <c r="Z11" t="s">
        <v>37</v>
      </c>
      <c r="AA11" t="s">
        <v>40</v>
      </c>
      <c r="AB11" t="s">
        <v>41</v>
      </c>
      <c r="AC11" t="s">
        <v>41</v>
      </c>
      <c r="AD11" t="s">
        <v>39</v>
      </c>
      <c r="AE11" t="s">
        <v>40</v>
      </c>
      <c r="AF11" t="s">
        <v>40</v>
      </c>
      <c r="AG11" t="s">
        <v>40</v>
      </c>
      <c r="AH11" s="31" t="s">
        <v>42</v>
      </c>
      <c r="AI11" s="27">
        <v>1</v>
      </c>
    </row>
    <row r="12" spans="1:35">
      <c r="A12" t="s">
        <v>75</v>
      </c>
      <c r="B12" t="s">
        <v>76</v>
      </c>
      <c r="C12" t="s">
        <v>77</v>
      </c>
      <c r="D12" t="s">
        <v>37</v>
      </c>
      <c r="E12" t="s">
        <v>37</v>
      </c>
      <c r="F12" t="s">
        <v>37</v>
      </c>
      <c r="G12" t="s">
        <v>38</v>
      </c>
      <c r="H12" t="s">
        <v>37</v>
      </c>
      <c r="I12" t="s">
        <v>39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39</v>
      </c>
      <c r="Q12" t="s">
        <v>37</v>
      </c>
      <c r="R12" t="s">
        <v>37</v>
      </c>
      <c r="S12" t="s">
        <v>37</v>
      </c>
      <c r="T12" t="s">
        <v>37</v>
      </c>
      <c r="U12" t="s">
        <v>38</v>
      </c>
      <c r="V12" t="s">
        <v>37</v>
      </c>
      <c r="W12" t="s">
        <v>39</v>
      </c>
      <c r="X12" t="s">
        <v>37</v>
      </c>
      <c r="Y12" t="s">
        <v>37</v>
      </c>
      <c r="Z12" t="s">
        <v>37</v>
      </c>
      <c r="AA12" t="s">
        <v>40</v>
      </c>
      <c r="AB12" t="s">
        <v>41</v>
      </c>
      <c r="AC12" t="s">
        <v>41</v>
      </c>
      <c r="AD12" t="s">
        <v>39</v>
      </c>
      <c r="AE12" t="s">
        <v>40</v>
      </c>
      <c r="AF12" t="s">
        <v>40</v>
      </c>
      <c r="AG12" t="s">
        <v>40</v>
      </c>
      <c r="AH12" s="31" t="s">
        <v>42</v>
      </c>
      <c r="AI12" s="27">
        <v>1</v>
      </c>
    </row>
    <row r="13" spans="1:35">
      <c r="A13" t="s">
        <v>78</v>
      </c>
      <c r="B13" t="s">
        <v>79</v>
      </c>
      <c r="C13" t="s">
        <v>80</v>
      </c>
      <c r="D13" t="s">
        <v>37</v>
      </c>
      <c r="E13" t="s">
        <v>37</v>
      </c>
      <c r="F13" t="s">
        <v>37</v>
      </c>
      <c r="G13" t="s">
        <v>38</v>
      </c>
      <c r="H13" t="s">
        <v>37</v>
      </c>
      <c r="I13" t="s">
        <v>39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39</v>
      </c>
      <c r="Q13" t="s">
        <v>37</v>
      </c>
      <c r="R13" t="s">
        <v>37</v>
      </c>
      <c r="S13" t="s">
        <v>37</v>
      </c>
      <c r="T13" t="s">
        <v>37</v>
      </c>
      <c r="U13" t="s">
        <v>38</v>
      </c>
      <c r="V13" t="s">
        <v>37</v>
      </c>
      <c r="W13" t="s">
        <v>39</v>
      </c>
      <c r="X13" t="s">
        <v>37</v>
      </c>
      <c r="Y13" t="s">
        <v>37</v>
      </c>
      <c r="Z13" t="s">
        <v>37</v>
      </c>
      <c r="AA13" t="s">
        <v>40</v>
      </c>
      <c r="AB13" t="s">
        <v>41</v>
      </c>
      <c r="AC13" t="s">
        <v>41</v>
      </c>
      <c r="AD13" t="s">
        <v>39</v>
      </c>
      <c r="AE13" t="s">
        <v>40</v>
      </c>
      <c r="AF13" t="s">
        <v>40</v>
      </c>
      <c r="AG13" t="s">
        <v>40</v>
      </c>
      <c r="AH13" s="31" t="s">
        <v>42</v>
      </c>
      <c r="AI13" s="27">
        <v>1</v>
      </c>
    </row>
    <row r="14" spans="1:35">
      <c r="A14" t="s">
        <v>81</v>
      </c>
      <c r="B14" t="s">
        <v>82</v>
      </c>
      <c r="C14" t="s">
        <v>83</v>
      </c>
      <c r="D14" t="s">
        <v>37</v>
      </c>
      <c r="E14" t="s">
        <v>37</v>
      </c>
      <c r="F14" t="s">
        <v>37</v>
      </c>
      <c r="G14" t="s">
        <v>38</v>
      </c>
      <c r="H14" t="s">
        <v>37</v>
      </c>
      <c r="I14" t="s">
        <v>39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39</v>
      </c>
      <c r="Q14" t="s">
        <v>37</v>
      </c>
      <c r="R14" t="s">
        <v>37</v>
      </c>
      <c r="S14" t="s">
        <v>37</v>
      </c>
      <c r="T14" t="s">
        <v>37</v>
      </c>
      <c r="U14" t="s">
        <v>38</v>
      </c>
      <c r="V14" t="s">
        <v>37</v>
      </c>
      <c r="W14" t="s">
        <v>39</v>
      </c>
      <c r="X14" t="s">
        <v>37</v>
      </c>
      <c r="Y14" t="s">
        <v>37</v>
      </c>
      <c r="Z14" t="s">
        <v>37</v>
      </c>
      <c r="AA14" t="s">
        <v>40</v>
      </c>
      <c r="AB14" t="s">
        <v>41</v>
      </c>
      <c r="AC14" t="s">
        <v>41</v>
      </c>
      <c r="AD14" t="s">
        <v>39</v>
      </c>
      <c r="AE14" t="s">
        <v>40</v>
      </c>
      <c r="AF14" t="s">
        <v>40</v>
      </c>
      <c r="AG14" t="s">
        <v>40</v>
      </c>
      <c r="AH14" s="31" t="s">
        <v>42</v>
      </c>
      <c r="AI14" s="27">
        <v>1</v>
      </c>
    </row>
    <row r="15" spans="1:35">
      <c r="A15" t="s">
        <v>84</v>
      </c>
      <c r="B15" t="s">
        <v>85</v>
      </c>
      <c r="C15" t="s">
        <v>86</v>
      </c>
      <c r="D15" t="s">
        <v>37</v>
      </c>
      <c r="E15" t="s">
        <v>64</v>
      </c>
      <c r="F15" t="s">
        <v>37</v>
      </c>
      <c r="G15" t="s">
        <v>38</v>
      </c>
      <c r="H15" t="s">
        <v>37</v>
      </c>
      <c r="I15" t="s">
        <v>39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39</v>
      </c>
      <c r="Q15" t="s">
        <v>37</v>
      </c>
      <c r="R15" t="s">
        <v>37</v>
      </c>
      <c r="S15" t="s">
        <v>37</v>
      </c>
      <c r="T15" t="s">
        <v>37</v>
      </c>
      <c r="U15" t="s">
        <v>38</v>
      </c>
      <c r="V15" t="s">
        <v>37</v>
      </c>
      <c r="W15" t="s">
        <v>39</v>
      </c>
      <c r="X15" t="s">
        <v>37</v>
      </c>
      <c r="Y15" t="s">
        <v>37</v>
      </c>
      <c r="Z15" t="s">
        <v>37</v>
      </c>
      <c r="AA15" t="s">
        <v>40</v>
      </c>
      <c r="AB15" t="s">
        <v>41</v>
      </c>
      <c r="AC15" t="s">
        <v>41</v>
      </c>
      <c r="AD15" t="s">
        <v>39</v>
      </c>
      <c r="AE15" t="s">
        <v>40</v>
      </c>
      <c r="AF15" t="s">
        <v>40</v>
      </c>
      <c r="AG15" t="s">
        <v>40</v>
      </c>
      <c r="AH15" s="31" t="s">
        <v>87</v>
      </c>
      <c r="AI15" s="27">
        <v>0.95</v>
      </c>
    </row>
    <row r="16" spans="1:35">
      <c r="A16" t="s">
        <v>88</v>
      </c>
      <c r="B16" t="s">
        <v>89</v>
      </c>
      <c r="C16" t="s">
        <v>90</v>
      </c>
      <c r="D16" t="s">
        <v>37</v>
      </c>
      <c r="E16" t="s">
        <v>37</v>
      </c>
      <c r="F16" t="s">
        <v>37</v>
      </c>
      <c r="G16" t="s">
        <v>38</v>
      </c>
      <c r="H16" t="s">
        <v>37</v>
      </c>
      <c r="I16" t="s">
        <v>39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39</v>
      </c>
      <c r="Q16" t="s">
        <v>37</v>
      </c>
      <c r="R16" t="s">
        <v>37</v>
      </c>
      <c r="S16" t="s">
        <v>37</v>
      </c>
      <c r="T16" t="s">
        <v>37</v>
      </c>
      <c r="U16" t="s">
        <v>38</v>
      </c>
      <c r="V16" t="s">
        <v>37</v>
      </c>
      <c r="W16" t="s">
        <v>39</v>
      </c>
      <c r="X16" t="s">
        <v>37</v>
      </c>
      <c r="Y16" t="s">
        <v>37</v>
      </c>
      <c r="Z16" t="s">
        <v>37</v>
      </c>
      <c r="AA16" t="s">
        <v>40</v>
      </c>
      <c r="AB16" t="s">
        <v>41</v>
      </c>
      <c r="AC16" t="s">
        <v>41</v>
      </c>
      <c r="AD16" t="s">
        <v>39</v>
      </c>
      <c r="AE16" t="s">
        <v>40</v>
      </c>
      <c r="AF16" t="s">
        <v>40</v>
      </c>
      <c r="AG16" t="s">
        <v>40</v>
      </c>
      <c r="AH16" s="31" t="s">
        <v>42</v>
      </c>
      <c r="AI16" s="27">
        <v>1</v>
      </c>
    </row>
    <row r="17" spans="1:35">
      <c r="A17" t="s">
        <v>91</v>
      </c>
      <c r="B17" t="s">
        <v>92</v>
      </c>
      <c r="C17" t="s">
        <v>93</v>
      </c>
      <c r="D17" t="s">
        <v>37</v>
      </c>
      <c r="E17" t="s">
        <v>37</v>
      </c>
      <c r="F17" t="s">
        <v>37</v>
      </c>
      <c r="G17" t="s">
        <v>38</v>
      </c>
      <c r="H17" t="s">
        <v>37</v>
      </c>
      <c r="I17" t="s">
        <v>39</v>
      </c>
      <c r="J17" t="s">
        <v>37</v>
      </c>
      <c r="K17" t="s">
        <v>37</v>
      </c>
      <c r="L17" t="s">
        <v>37</v>
      </c>
      <c r="M17" t="s">
        <v>37</v>
      </c>
      <c r="N17" t="s">
        <v>46</v>
      </c>
      <c r="O17" t="s">
        <v>37</v>
      </c>
      <c r="P17" t="s">
        <v>39</v>
      </c>
      <c r="Q17" t="s">
        <v>37</v>
      </c>
      <c r="R17" t="s">
        <v>37</v>
      </c>
      <c r="S17" t="s">
        <v>37</v>
      </c>
      <c r="T17" t="s">
        <v>37</v>
      </c>
      <c r="U17" t="s">
        <v>38</v>
      </c>
      <c r="V17" t="s">
        <v>37</v>
      </c>
      <c r="W17" t="s">
        <v>39</v>
      </c>
      <c r="X17" t="s">
        <v>37</v>
      </c>
      <c r="Y17" t="s">
        <v>37</v>
      </c>
      <c r="Z17" t="s">
        <v>37</v>
      </c>
      <c r="AA17" t="s">
        <v>40</v>
      </c>
      <c r="AB17" t="s">
        <v>41</v>
      </c>
      <c r="AC17" t="s">
        <v>41</v>
      </c>
      <c r="AD17" t="s">
        <v>39</v>
      </c>
      <c r="AE17" t="s">
        <v>40</v>
      </c>
      <c r="AF17" t="s">
        <v>40</v>
      </c>
      <c r="AG17" t="s">
        <v>40</v>
      </c>
      <c r="AH17" s="31" t="s">
        <v>87</v>
      </c>
      <c r="AI17" s="27">
        <v>0.95</v>
      </c>
    </row>
    <row r="18" spans="1:35">
      <c r="A18" t="s">
        <v>94</v>
      </c>
      <c r="B18" t="s">
        <v>95</v>
      </c>
      <c r="C18" t="s">
        <v>96</v>
      </c>
      <c r="D18" t="s">
        <v>37</v>
      </c>
      <c r="E18" t="s">
        <v>37</v>
      </c>
      <c r="F18" t="s">
        <v>37</v>
      </c>
      <c r="G18" t="s">
        <v>38</v>
      </c>
      <c r="H18" t="s">
        <v>37</v>
      </c>
      <c r="I18" t="s">
        <v>39</v>
      </c>
      <c r="J18" t="s">
        <v>37</v>
      </c>
      <c r="K18" t="s">
        <v>37</v>
      </c>
      <c r="L18" t="s">
        <v>37</v>
      </c>
      <c r="M18" t="s">
        <v>37</v>
      </c>
      <c r="N18" t="s">
        <v>97</v>
      </c>
      <c r="O18" t="s">
        <v>37</v>
      </c>
      <c r="P18" t="s">
        <v>39</v>
      </c>
      <c r="Q18" t="s">
        <v>37</v>
      </c>
      <c r="R18" t="s">
        <v>37</v>
      </c>
      <c r="S18" t="s">
        <v>37</v>
      </c>
      <c r="T18" t="s">
        <v>37</v>
      </c>
      <c r="U18" t="s">
        <v>38</v>
      </c>
      <c r="V18" t="s">
        <v>37</v>
      </c>
      <c r="W18" t="s">
        <v>39</v>
      </c>
      <c r="X18" t="s">
        <v>37</v>
      </c>
      <c r="Y18" t="s">
        <v>37</v>
      </c>
      <c r="Z18" t="s">
        <v>46</v>
      </c>
      <c r="AA18" t="s">
        <v>40</v>
      </c>
      <c r="AB18" t="s">
        <v>41</v>
      </c>
      <c r="AC18" t="s">
        <v>41</v>
      </c>
      <c r="AD18" t="s">
        <v>39</v>
      </c>
      <c r="AE18" t="s">
        <v>40</v>
      </c>
      <c r="AF18" t="s">
        <v>40</v>
      </c>
      <c r="AG18" t="s">
        <v>40</v>
      </c>
      <c r="AH18" s="31" t="s">
        <v>87</v>
      </c>
      <c r="AI18" s="27">
        <v>0.95</v>
      </c>
    </row>
    <row r="19" spans="1:35">
      <c r="A19" t="s">
        <v>98</v>
      </c>
      <c r="B19" t="s">
        <v>99</v>
      </c>
      <c r="C19" t="s">
        <v>100</v>
      </c>
      <c r="D19" t="s">
        <v>37</v>
      </c>
      <c r="E19" t="s">
        <v>37</v>
      </c>
      <c r="F19" t="s">
        <v>37</v>
      </c>
      <c r="G19" t="s">
        <v>38</v>
      </c>
      <c r="H19" t="s">
        <v>37</v>
      </c>
      <c r="I19" t="s">
        <v>39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39</v>
      </c>
      <c r="Q19" t="s">
        <v>37</v>
      </c>
      <c r="R19" t="s">
        <v>37</v>
      </c>
      <c r="S19" t="s">
        <v>37</v>
      </c>
      <c r="T19" t="s">
        <v>37</v>
      </c>
      <c r="U19" t="s">
        <v>38</v>
      </c>
      <c r="V19" t="s">
        <v>37</v>
      </c>
      <c r="W19" t="s">
        <v>39</v>
      </c>
      <c r="X19" t="s">
        <v>37</v>
      </c>
      <c r="Y19" t="s">
        <v>37</v>
      </c>
      <c r="Z19" t="s">
        <v>37</v>
      </c>
      <c r="AA19" t="s">
        <v>40</v>
      </c>
      <c r="AB19" t="s">
        <v>41</v>
      </c>
      <c r="AC19" t="s">
        <v>41</v>
      </c>
      <c r="AD19" t="s">
        <v>39</v>
      </c>
      <c r="AE19" t="s">
        <v>40</v>
      </c>
      <c r="AF19" t="s">
        <v>40</v>
      </c>
      <c r="AG19" t="s">
        <v>40</v>
      </c>
      <c r="AH19" s="31" t="s">
        <v>42</v>
      </c>
      <c r="AI19" s="27">
        <v>1</v>
      </c>
    </row>
    <row r="20" spans="1:35">
      <c r="A20" t="s">
        <v>101</v>
      </c>
      <c r="B20" t="s">
        <v>102</v>
      </c>
      <c r="C20" t="s">
        <v>103</v>
      </c>
      <c r="D20" t="s">
        <v>37</v>
      </c>
      <c r="E20" t="s">
        <v>37</v>
      </c>
      <c r="F20" t="s">
        <v>37</v>
      </c>
      <c r="G20" t="s">
        <v>38</v>
      </c>
      <c r="H20" t="s">
        <v>37</v>
      </c>
      <c r="I20" t="s">
        <v>39</v>
      </c>
      <c r="J20" t="s">
        <v>37</v>
      </c>
      <c r="K20" t="s">
        <v>37</v>
      </c>
      <c r="L20" t="s">
        <v>37</v>
      </c>
      <c r="M20" t="s">
        <v>37</v>
      </c>
      <c r="N20" t="s">
        <v>97</v>
      </c>
      <c r="O20" t="s">
        <v>37</v>
      </c>
      <c r="P20" t="s">
        <v>39</v>
      </c>
      <c r="Q20" t="s">
        <v>37</v>
      </c>
      <c r="R20" t="s">
        <v>37</v>
      </c>
      <c r="S20" t="s">
        <v>37</v>
      </c>
      <c r="T20" t="s">
        <v>37</v>
      </c>
      <c r="U20" t="s">
        <v>38</v>
      </c>
      <c r="V20" t="s">
        <v>37</v>
      </c>
      <c r="W20" t="s">
        <v>39</v>
      </c>
      <c r="X20" t="s">
        <v>37</v>
      </c>
      <c r="Y20" t="s">
        <v>37</v>
      </c>
      <c r="Z20" t="s">
        <v>37</v>
      </c>
      <c r="AA20" t="s">
        <v>40</v>
      </c>
      <c r="AB20" t="s">
        <v>41</v>
      </c>
      <c r="AC20" t="s">
        <v>41</v>
      </c>
      <c r="AD20" t="s">
        <v>39</v>
      </c>
      <c r="AE20" t="s">
        <v>40</v>
      </c>
      <c r="AF20" t="s">
        <v>40</v>
      </c>
      <c r="AG20" t="s">
        <v>40</v>
      </c>
      <c r="AH20" s="31" t="s">
        <v>42</v>
      </c>
      <c r="AI20" s="27">
        <v>1</v>
      </c>
    </row>
    <row r="21" spans="1:35">
      <c r="A21" t="s">
        <v>104</v>
      </c>
      <c r="B21" t="s">
        <v>105</v>
      </c>
      <c r="C21" t="s">
        <v>106</v>
      </c>
      <c r="D21" t="s">
        <v>37</v>
      </c>
      <c r="E21" t="s">
        <v>37</v>
      </c>
      <c r="F21" t="s">
        <v>37</v>
      </c>
      <c r="G21" t="s">
        <v>38</v>
      </c>
      <c r="H21" t="s">
        <v>37</v>
      </c>
      <c r="I21" t="s">
        <v>39</v>
      </c>
      <c r="J21" t="s">
        <v>37</v>
      </c>
      <c r="K21" t="s">
        <v>37</v>
      </c>
      <c r="L21" t="s">
        <v>37</v>
      </c>
      <c r="M21" t="s">
        <v>37</v>
      </c>
      <c r="N21" t="s">
        <v>97</v>
      </c>
      <c r="O21" t="s">
        <v>37</v>
      </c>
      <c r="P21" t="s">
        <v>39</v>
      </c>
      <c r="Q21" t="s">
        <v>37</v>
      </c>
      <c r="R21" t="s">
        <v>37</v>
      </c>
      <c r="S21" t="s">
        <v>37</v>
      </c>
      <c r="T21" t="s">
        <v>37</v>
      </c>
      <c r="U21" t="s">
        <v>38</v>
      </c>
      <c r="V21" t="s">
        <v>37</v>
      </c>
      <c r="W21" t="s">
        <v>39</v>
      </c>
      <c r="X21" t="s">
        <v>37</v>
      </c>
      <c r="Y21" t="s">
        <v>37</v>
      </c>
      <c r="Z21" t="s">
        <v>37</v>
      </c>
      <c r="AA21" t="s">
        <v>40</v>
      </c>
      <c r="AB21" t="s">
        <v>41</v>
      </c>
      <c r="AC21" t="s">
        <v>41</v>
      </c>
      <c r="AD21" t="s">
        <v>39</v>
      </c>
      <c r="AE21" t="s">
        <v>40</v>
      </c>
      <c r="AF21" t="s">
        <v>40</v>
      </c>
      <c r="AG21" t="s">
        <v>40</v>
      </c>
      <c r="AH21" s="31" t="s">
        <v>42</v>
      </c>
      <c r="AI21" s="27">
        <v>1</v>
      </c>
    </row>
    <row r="22" spans="1:35">
      <c r="A22" t="s">
        <v>107</v>
      </c>
      <c r="B22" t="s">
        <v>108</v>
      </c>
      <c r="C22" t="s">
        <v>109</v>
      </c>
      <c r="D22" t="s">
        <v>64</v>
      </c>
      <c r="E22" t="s">
        <v>37</v>
      </c>
      <c r="F22" t="s">
        <v>37</v>
      </c>
      <c r="G22" t="s">
        <v>38</v>
      </c>
      <c r="H22" t="s">
        <v>37</v>
      </c>
      <c r="I22" t="s">
        <v>39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39</v>
      </c>
      <c r="Q22" t="s">
        <v>37</v>
      </c>
      <c r="R22" t="s">
        <v>37</v>
      </c>
      <c r="S22" t="s">
        <v>37</v>
      </c>
      <c r="T22" t="s">
        <v>37</v>
      </c>
      <c r="U22" t="s">
        <v>38</v>
      </c>
      <c r="V22" t="s">
        <v>37</v>
      </c>
      <c r="W22" t="s">
        <v>39</v>
      </c>
      <c r="X22" t="s">
        <v>37</v>
      </c>
      <c r="Y22" t="s">
        <v>64</v>
      </c>
      <c r="Z22" t="s">
        <v>37</v>
      </c>
      <c r="AA22" t="s">
        <v>40</v>
      </c>
      <c r="AB22" t="s">
        <v>41</v>
      </c>
      <c r="AC22" t="s">
        <v>41</v>
      </c>
      <c r="AD22" t="s">
        <v>39</v>
      </c>
      <c r="AE22" t="s">
        <v>40</v>
      </c>
      <c r="AF22" t="s">
        <v>40</v>
      </c>
      <c r="AG22" t="s">
        <v>40</v>
      </c>
      <c r="AH22" s="31" t="s">
        <v>151</v>
      </c>
      <c r="AI22" s="27">
        <v>0.9</v>
      </c>
    </row>
    <row r="23" spans="1:35">
      <c r="A23" t="s">
        <v>110</v>
      </c>
      <c r="B23" t="s">
        <v>111</v>
      </c>
      <c r="C23" t="s">
        <v>112</v>
      </c>
      <c r="D23" t="s">
        <v>37</v>
      </c>
      <c r="E23" t="s">
        <v>37</v>
      </c>
      <c r="F23" t="s">
        <v>37</v>
      </c>
      <c r="G23" t="s">
        <v>38</v>
      </c>
      <c r="H23" t="s">
        <v>37</v>
      </c>
      <c r="I23" t="s">
        <v>39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39</v>
      </c>
      <c r="Q23" t="s">
        <v>37</v>
      </c>
      <c r="R23" t="s">
        <v>37</v>
      </c>
      <c r="S23" t="s">
        <v>37</v>
      </c>
      <c r="T23" t="s">
        <v>37</v>
      </c>
      <c r="U23" t="s">
        <v>38</v>
      </c>
      <c r="V23" t="s">
        <v>37</v>
      </c>
      <c r="W23" t="s">
        <v>39</v>
      </c>
      <c r="X23" t="s">
        <v>37</v>
      </c>
      <c r="Y23" t="s">
        <v>37</v>
      </c>
      <c r="Z23" t="s">
        <v>37</v>
      </c>
      <c r="AA23" t="s">
        <v>40</v>
      </c>
      <c r="AB23" t="s">
        <v>41</v>
      </c>
      <c r="AC23" t="s">
        <v>41</v>
      </c>
      <c r="AD23" t="s">
        <v>39</v>
      </c>
      <c r="AE23" t="s">
        <v>40</v>
      </c>
      <c r="AF23" t="s">
        <v>40</v>
      </c>
      <c r="AG23" t="s">
        <v>40</v>
      </c>
      <c r="AH23" s="31" t="s">
        <v>42</v>
      </c>
      <c r="AI23" s="27">
        <v>1</v>
      </c>
    </row>
    <row r="24" spans="1:35">
      <c r="A24" t="s">
        <v>113</v>
      </c>
      <c r="B24" t="s">
        <v>89</v>
      </c>
      <c r="C24" t="s">
        <v>114</v>
      </c>
      <c r="D24" t="s">
        <v>37</v>
      </c>
      <c r="E24" t="s">
        <v>37</v>
      </c>
      <c r="F24" t="s">
        <v>37</v>
      </c>
      <c r="G24" t="s">
        <v>38</v>
      </c>
      <c r="H24" t="s">
        <v>37</v>
      </c>
      <c r="I24" t="s">
        <v>39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39</v>
      </c>
      <c r="Q24" t="s">
        <v>37</v>
      </c>
      <c r="R24" t="s">
        <v>37</v>
      </c>
      <c r="S24" t="s">
        <v>37</v>
      </c>
      <c r="T24" t="s">
        <v>37</v>
      </c>
      <c r="U24" t="s">
        <v>38</v>
      </c>
      <c r="V24" t="s">
        <v>37</v>
      </c>
      <c r="W24" t="s">
        <v>39</v>
      </c>
      <c r="X24" t="s">
        <v>37</v>
      </c>
      <c r="Y24" t="s">
        <v>37</v>
      </c>
      <c r="Z24" t="s">
        <v>37</v>
      </c>
      <c r="AA24" t="s">
        <v>40</v>
      </c>
      <c r="AB24" t="s">
        <v>41</v>
      </c>
      <c r="AC24" t="s">
        <v>41</v>
      </c>
      <c r="AD24" t="s">
        <v>39</v>
      </c>
      <c r="AE24" t="s">
        <v>40</v>
      </c>
      <c r="AF24" t="s">
        <v>40</v>
      </c>
      <c r="AG24" t="s">
        <v>40</v>
      </c>
      <c r="AH24" s="31" t="s">
        <v>42</v>
      </c>
      <c r="AI24" s="27">
        <v>1</v>
      </c>
    </row>
    <row r="25" spans="1:35">
      <c r="A25" t="s">
        <v>115</v>
      </c>
      <c r="B25" t="s">
        <v>116</v>
      </c>
      <c r="C25" t="s">
        <v>117</v>
      </c>
      <c r="D25" t="s">
        <v>37</v>
      </c>
      <c r="E25" t="s">
        <v>37</v>
      </c>
      <c r="F25" t="s">
        <v>37</v>
      </c>
      <c r="G25" t="s">
        <v>38</v>
      </c>
      <c r="H25" t="s">
        <v>37</v>
      </c>
      <c r="I25" t="s">
        <v>39</v>
      </c>
      <c r="J25" t="s">
        <v>37</v>
      </c>
      <c r="K25" t="s">
        <v>37</v>
      </c>
      <c r="L25" t="s">
        <v>97</v>
      </c>
      <c r="M25" t="s">
        <v>37</v>
      </c>
      <c r="N25" t="s">
        <v>97</v>
      </c>
      <c r="O25" t="s">
        <v>37</v>
      </c>
      <c r="P25" t="s">
        <v>39</v>
      </c>
      <c r="Q25" t="s">
        <v>37</v>
      </c>
      <c r="R25" t="s">
        <v>37</v>
      </c>
      <c r="S25" t="s">
        <v>37</v>
      </c>
      <c r="T25" t="s">
        <v>37</v>
      </c>
      <c r="U25" t="s">
        <v>38</v>
      </c>
      <c r="V25" t="s">
        <v>37</v>
      </c>
      <c r="W25" t="s">
        <v>39</v>
      </c>
      <c r="X25" t="s">
        <v>37</v>
      </c>
      <c r="Y25" t="s">
        <v>37</v>
      </c>
      <c r="Z25" t="s">
        <v>37</v>
      </c>
      <c r="AA25" t="s">
        <v>40</v>
      </c>
      <c r="AB25" t="s">
        <v>41</v>
      </c>
      <c r="AC25" t="s">
        <v>41</v>
      </c>
      <c r="AD25" t="s">
        <v>39</v>
      </c>
      <c r="AE25" t="s">
        <v>40</v>
      </c>
      <c r="AF25" t="s">
        <v>40</v>
      </c>
      <c r="AG25" t="s">
        <v>40</v>
      </c>
      <c r="AH25" s="31" t="s">
        <v>42</v>
      </c>
      <c r="AI25" s="27">
        <v>1</v>
      </c>
    </row>
    <row r="26" spans="1:35">
      <c r="A26" t="s">
        <v>118</v>
      </c>
      <c r="B26" t="s">
        <v>119</v>
      </c>
      <c r="C26" t="s">
        <v>120</v>
      </c>
      <c r="D26" t="s">
        <v>37</v>
      </c>
      <c r="E26" t="s">
        <v>37</v>
      </c>
      <c r="F26" t="s">
        <v>37</v>
      </c>
      <c r="G26" t="s">
        <v>38</v>
      </c>
      <c r="H26" t="s">
        <v>37</v>
      </c>
      <c r="I26" t="s">
        <v>39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39</v>
      </c>
      <c r="Q26" t="s">
        <v>37</v>
      </c>
      <c r="R26" t="s">
        <v>37</v>
      </c>
      <c r="S26" t="s">
        <v>37</v>
      </c>
      <c r="T26" t="s">
        <v>37</v>
      </c>
      <c r="U26" t="s">
        <v>38</v>
      </c>
      <c r="V26" t="s">
        <v>37</v>
      </c>
      <c r="W26" t="s">
        <v>39</v>
      </c>
      <c r="X26" t="s">
        <v>37</v>
      </c>
      <c r="Y26" t="s">
        <v>37</v>
      </c>
      <c r="Z26" t="s">
        <v>37</v>
      </c>
      <c r="AA26" t="s">
        <v>40</v>
      </c>
      <c r="AB26" t="s">
        <v>40</v>
      </c>
      <c r="AC26" t="s">
        <v>41</v>
      </c>
      <c r="AD26" t="s">
        <v>39</v>
      </c>
      <c r="AE26" t="s">
        <v>40</v>
      </c>
      <c r="AF26" t="s">
        <v>40</v>
      </c>
      <c r="AG26" t="s">
        <v>40</v>
      </c>
      <c r="AH26" s="31" t="s">
        <v>42</v>
      </c>
      <c r="AI26" s="27">
        <v>1</v>
      </c>
    </row>
    <row r="27" spans="1:35">
      <c r="A27" t="s">
        <v>121</v>
      </c>
      <c r="B27" t="s">
        <v>122</v>
      </c>
      <c r="C27" t="s">
        <v>123</v>
      </c>
      <c r="D27" t="s">
        <v>37</v>
      </c>
      <c r="E27" t="s">
        <v>37</v>
      </c>
      <c r="F27" t="s">
        <v>37</v>
      </c>
      <c r="G27" t="s">
        <v>38</v>
      </c>
      <c r="H27" t="s">
        <v>37</v>
      </c>
      <c r="I27" t="s">
        <v>39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39</v>
      </c>
      <c r="Q27" t="s">
        <v>37</v>
      </c>
      <c r="R27" t="s">
        <v>37</v>
      </c>
      <c r="S27" t="s">
        <v>37</v>
      </c>
      <c r="T27" t="s">
        <v>37</v>
      </c>
      <c r="U27" t="s">
        <v>38</v>
      </c>
      <c r="V27" t="s">
        <v>37</v>
      </c>
      <c r="W27" t="s">
        <v>39</v>
      </c>
      <c r="X27" t="s">
        <v>37</v>
      </c>
      <c r="Y27" t="s">
        <v>37</v>
      </c>
      <c r="Z27" t="s">
        <v>37</v>
      </c>
      <c r="AA27" t="s">
        <v>40</v>
      </c>
      <c r="AB27" t="s">
        <v>41</v>
      </c>
      <c r="AC27" t="s">
        <v>41</v>
      </c>
      <c r="AD27" t="s">
        <v>39</v>
      </c>
      <c r="AE27" t="s">
        <v>40</v>
      </c>
      <c r="AF27" t="s">
        <v>40</v>
      </c>
      <c r="AG27" t="s">
        <v>40</v>
      </c>
      <c r="AH27" s="31" t="s">
        <v>42</v>
      </c>
      <c r="AI27" s="27">
        <v>1</v>
      </c>
    </row>
    <row r="28" spans="1:35">
      <c r="A28" t="s">
        <v>124</v>
      </c>
      <c r="B28" t="s">
        <v>125</v>
      </c>
      <c r="C28" t="s">
        <v>126</v>
      </c>
      <c r="D28" t="s">
        <v>37</v>
      </c>
      <c r="E28" t="s">
        <v>37</v>
      </c>
      <c r="F28" t="s">
        <v>37</v>
      </c>
      <c r="G28" t="s">
        <v>38</v>
      </c>
      <c r="H28" t="s">
        <v>37</v>
      </c>
      <c r="I28" t="s">
        <v>39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39</v>
      </c>
      <c r="Q28" t="s">
        <v>37</v>
      </c>
      <c r="R28" t="s">
        <v>37</v>
      </c>
      <c r="S28" t="s">
        <v>37</v>
      </c>
      <c r="T28" t="s">
        <v>37</v>
      </c>
      <c r="U28" t="s">
        <v>38</v>
      </c>
      <c r="V28" t="s">
        <v>37</v>
      </c>
      <c r="W28" t="s">
        <v>39</v>
      </c>
      <c r="X28" t="s">
        <v>37</v>
      </c>
      <c r="Y28" t="s">
        <v>37</v>
      </c>
      <c r="Z28" t="s">
        <v>37</v>
      </c>
      <c r="AA28" t="s">
        <v>40</v>
      </c>
      <c r="AB28" t="s">
        <v>41</v>
      </c>
      <c r="AC28" t="s">
        <v>41</v>
      </c>
      <c r="AD28" t="s">
        <v>39</v>
      </c>
      <c r="AE28" t="s">
        <v>40</v>
      </c>
      <c r="AF28" t="s">
        <v>40</v>
      </c>
      <c r="AG28" t="s">
        <v>40</v>
      </c>
      <c r="AH28" s="31" t="s">
        <v>42</v>
      </c>
      <c r="AI28" s="27">
        <v>1</v>
      </c>
    </row>
    <row r="29" spans="1:35">
      <c r="A29" t="s">
        <v>127</v>
      </c>
      <c r="B29" t="s">
        <v>128</v>
      </c>
      <c r="C29" t="s">
        <v>129</v>
      </c>
      <c r="D29" t="s">
        <v>46</v>
      </c>
      <c r="E29" t="s">
        <v>46</v>
      </c>
      <c r="F29" t="s">
        <v>46</v>
      </c>
      <c r="G29" t="s">
        <v>38</v>
      </c>
      <c r="H29" t="s">
        <v>46</v>
      </c>
      <c r="I29" t="s">
        <v>39</v>
      </c>
      <c r="J29" t="s">
        <v>46</v>
      </c>
      <c r="K29" t="s">
        <v>46</v>
      </c>
      <c r="L29" t="s">
        <v>37</v>
      </c>
      <c r="M29" t="s">
        <v>46</v>
      </c>
      <c r="N29" t="s">
        <v>46</v>
      </c>
      <c r="O29" t="s">
        <v>46</v>
      </c>
      <c r="P29" t="s">
        <v>39</v>
      </c>
      <c r="Q29" t="s">
        <v>46</v>
      </c>
      <c r="R29" t="s">
        <v>46</v>
      </c>
      <c r="S29" t="s">
        <v>46</v>
      </c>
      <c r="T29" t="s">
        <v>46</v>
      </c>
      <c r="U29" t="s">
        <v>38</v>
      </c>
      <c r="V29" t="s">
        <v>46</v>
      </c>
      <c r="W29" t="s">
        <v>39</v>
      </c>
      <c r="X29" t="s">
        <v>46</v>
      </c>
      <c r="Y29" t="s">
        <v>46</v>
      </c>
      <c r="Z29" t="s">
        <v>46</v>
      </c>
      <c r="AA29" t="s">
        <v>40</v>
      </c>
      <c r="AB29" t="s">
        <v>41</v>
      </c>
      <c r="AC29" t="s">
        <v>40</v>
      </c>
      <c r="AD29" t="s">
        <v>39</v>
      </c>
      <c r="AE29" t="s">
        <v>40</v>
      </c>
      <c r="AF29" t="s">
        <v>40</v>
      </c>
      <c r="AG29" t="s">
        <v>40</v>
      </c>
      <c r="AH29" s="31" t="s">
        <v>130</v>
      </c>
      <c r="AI29" s="27">
        <v>0.11</v>
      </c>
    </row>
    <row r="30" spans="1:35" s="5" customFormat="1">
      <c r="A30" s="5" t="s">
        <v>40</v>
      </c>
      <c r="B30" s="5" t="s">
        <v>40</v>
      </c>
      <c r="C30" s="5" t="s">
        <v>33</v>
      </c>
      <c r="D30" s="5" t="s">
        <v>131</v>
      </c>
      <c r="E30" s="5" t="s">
        <v>47</v>
      </c>
      <c r="F30" s="5" t="s">
        <v>131</v>
      </c>
      <c r="G30" s="5" t="s">
        <v>40</v>
      </c>
      <c r="H30" s="5" t="s">
        <v>131</v>
      </c>
      <c r="I30" s="5" t="s">
        <v>40</v>
      </c>
      <c r="J30" s="5" t="s">
        <v>131</v>
      </c>
      <c r="K30" s="5" t="s">
        <v>131</v>
      </c>
      <c r="L30" s="5" t="s">
        <v>131</v>
      </c>
      <c r="M30" s="5" t="s">
        <v>47</v>
      </c>
      <c r="N30" s="5" t="s">
        <v>132</v>
      </c>
      <c r="O30" s="5" t="s">
        <v>131</v>
      </c>
      <c r="P30" s="5" t="s">
        <v>40</v>
      </c>
      <c r="Q30" s="5" t="s">
        <v>131</v>
      </c>
      <c r="R30" s="5" t="s">
        <v>133</v>
      </c>
      <c r="S30" s="5" t="s">
        <v>131</v>
      </c>
      <c r="T30" s="5" t="s">
        <v>131</v>
      </c>
      <c r="U30" s="5" t="s">
        <v>40</v>
      </c>
      <c r="V30" s="5" t="s">
        <v>131</v>
      </c>
      <c r="W30" s="5" t="s">
        <v>40</v>
      </c>
      <c r="X30" s="5" t="s">
        <v>133</v>
      </c>
      <c r="Y30" s="5" t="s">
        <v>47</v>
      </c>
      <c r="Z30" s="5" t="s">
        <v>134</v>
      </c>
      <c r="AA30" s="5" t="s">
        <v>40</v>
      </c>
      <c r="AB30" s="5" t="s">
        <v>42</v>
      </c>
      <c r="AC30" s="5" t="s">
        <v>42</v>
      </c>
      <c r="AD30" s="5" t="s">
        <v>40</v>
      </c>
      <c r="AE30" s="5" t="s">
        <v>40</v>
      </c>
      <c r="AF30" s="5" t="s">
        <v>40</v>
      </c>
      <c r="AG30" s="5" t="s">
        <v>40</v>
      </c>
      <c r="AH30" s="30" t="s">
        <v>40</v>
      </c>
      <c r="AI30" s="32">
        <f>+AVERAGE(AI2:AI29)</f>
        <v>0.92357142857142838</v>
      </c>
    </row>
  </sheetData>
  <autoFilter ref="A1:AI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SEP 23</vt:lpstr>
      <vt:lpstr>Sep27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2026-09-27T06:17:16Z</dcterms:created>
  <dcterms:modified xsi:type="dcterms:W3CDTF">2026-09-27T06:17:16Z</dcterms:modified>
</cp:coreProperties>
</file>